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1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shif\Desktop\Kali\Thermodynamics Reliability\"/>
    </mc:Choice>
  </mc:AlternateContent>
  <xr:revisionPtr revIDLastSave="0" documentId="10_ncr:100000_{ED066BC1-439F-46F6-96D0-91742873FA10}" xr6:coauthVersionLast="31" xr6:coauthVersionMax="31" xr10:uidLastSave="{00000000-0000-0000-0000-000000000000}"/>
  <bookViews>
    <workbookView minimized="1" xWindow="0" yWindow="0" windowWidth="20490" windowHeight="6945" firstSheet="1" activeTab="5" xr2:uid="{00000000-000D-0000-FFFF-FFFF00000000}"/>
  </bookViews>
  <sheets>
    <sheet name="Thermal analysis" sheetId="1" r:id="rId1"/>
    <sheet name="Problem 2.1" sheetId="2" r:id="rId2"/>
    <sheet name="Problem 2.2" sheetId="5" r:id="rId3"/>
    <sheet name="Problem 1" sheetId="3" r:id="rId4"/>
    <sheet name="Problem 2" sheetId="4" r:id="rId5"/>
    <sheet name="Problem 3" sheetId="6" r:id="rId6"/>
    <sheet name="Problem 4" sheetId="7" r:id="rId7"/>
    <sheet name="Problem 5" sheetId="8" r:id="rId8"/>
    <sheet name="Problem 6" sheetId="9" r:id="rId9"/>
    <sheet name="Ex. 2.4" sheetId="10" r:id="rId10"/>
    <sheet name="Ball Bearing Example" sheetId="11" r:id="rId11"/>
    <sheet name="Active standby model" sheetId="12" r:id="rId12"/>
    <sheet name="Series Model" sheetId="14" r:id="rId13"/>
    <sheet name="Electromigration" sheetId="17" r:id="rId14"/>
    <sheet name="TDDB" sheetId="18" r:id="rId15"/>
    <sheet name="Hot Carrier Injection" sheetId="19" r:id="rId16"/>
    <sheet name="NBIT" sheetId="20" r:id="rId17"/>
    <sheet name="m exponent for Coffin Manson" sheetId="21" r:id="rId18"/>
    <sheet name="Chapter 7" sheetId="22" r:id="rId19"/>
    <sheet name=" Miner rule I" sheetId="23" r:id="rId20"/>
    <sheet name="Miners rule II" sheetId="24" r:id="rId21"/>
    <sheet name="Weibull Plot" sheetId="25" r:id="rId22"/>
    <sheet name="Thermal Analysis I" sheetId="26" r:id="rId23"/>
  </sheets>
  <externalReferences>
    <externalReference r:id="rId24"/>
  </externalReferences>
  <definedNames>
    <definedName name="solver_eng" localSheetId="9" hidden="1">3</definedName>
    <definedName name="solver_neg" localSheetId="9" hidden="1">1</definedName>
    <definedName name="solver_num" localSheetId="9" hidden="1">0</definedName>
    <definedName name="solver_opt" localSheetId="9" hidden="1">'Ex. 2.4'!$G$12</definedName>
    <definedName name="solver_typ" localSheetId="9" hidden="1">1</definedName>
    <definedName name="solver_val" localSheetId="9" hidden="1">0</definedName>
    <definedName name="solver_ver" localSheetId="9" hidden="1">3</definedName>
  </definedNames>
  <calcPr calcId="17901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26" l="1"/>
  <c r="C15" i="26"/>
  <c r="C14" i="26"/>
  <c r="C12" i="26"/>
  <c r="C13" i="26"/>
  <c r="D6" i="25" l="1"/>
  <c r="D10" i="25"/>
  <c r="D14" i="25"/>
  <c r="D18" i="25"/>
  <c r="G8" i="25"/>
  <c r="C18" i="25"/>
  <c r="C17" i="25"/>
  <c r="D17" i="25" s="1"/>
  <c r="C16" i="25"/>
  <c r="D16" i="25" s="1"/>
  <c r="E18" i="25" s="1"/>
  <c r="C11" i="25"/>
  <c r="D11" i="25" s="1"/>
  <c r="C12" i="25"/>
  <c r="D12" i="25" s="1"/>
  <c r="C13" i="25"/>
  <c r="D13" i="25" s="1"/>
  <c r="E15" i="25" s="1"/>
  <c r="C14" i="25"/>
  <c r="C15" i="25"/>
  <c r="D15" i="25" s="1"/>
  <c r="C10" i="25"/>
  <c r="C9" i="25"/>
  <c r="D9" i="25" s="1"/>
  <c r="E11" i="25" s="1"/>
  <c r="C8" i="25"/>
  <c r="D8" i="25" s="1"/>
  <c r="E10" i="25" s="1"/>
  <c r="C7" i="25"/>
  <c r="D7" i="25" s="1"/>
  <c r="C6" i="25"/>
  <c r="C5" i="25"/>
  <c r="D5" i="25" s="1"/>
  <c r="E7" i="25" s="1"/>
  <c r="C4" i="25"/>
  <c r="D4" i="25" s="1"/>
  <c r="B11" i="25"/>
  <c r="B12" i="25" s="1"/>
  <c r="B13" i="25" s="1"/>
  <c r="B14" i="25" s="1"/>
  <c r="B15" i="25" s="1"/>
  <c r="B16" i="25" s="1"/>
  <c r="B17" i="25" s="1"/>
  <c r="B18" i="25" s="1"/>
  <c r="B10" i="25"/>
  <c r="C2" i="25"/>
  <c r="D37" i="23"/>
  <c r="E8" i="25" l="1"/>
  <c r="E5" i="25"/>
  <c r="E6" i="25"/>
  <c r="E4" i="25"/>
  <c r="E16" i="25"/>
  <c r="E14" i="25"/>
  <c r="E12" i="25"/>
  <c r="E9" i="25"/>
  <c r="E17" i="25"/>
  <c r="E13" i="25"/>
  <c r="G9" i="25"/>
  <c r="G10" i="25"/>
  <c r="G11" i="25" s="1"/>
  <c r="G12" i="25"/>
  <c r="G13" i="25" s="1"/>
  <c r="C23" i="24"/>
  <c r="C17" i="24"/>
  <c r="C12" i="24"/>
  <c r="C19" i="24" s="1"/>
  <c r="C11" i="24"/>
  <c r="C18" i="24" s="1"/>
  <c r="C10" i="24"/>
  <c r="C7" i="24"/>
  <c r="C6" i="24"/>
  <c r="C5" i="24"/>
  <c r="C20" i="24" l="1"/>
  <c r="D35" i="23"/>
  <c r="D24" i="23"/>
  <c r="C24" i="23" s="1"/>
  <c r="C23" i="23"/>
  <c r="D23" i="23"/>
  <c r="C20" i="23"/>
  <c r="D36" i="23" s="1"/>
  <c r="C18" i="23"/>
  <c r="C12" i="23"/>
  <c r="C11" i="23"/>
  <c r="C31" i="24" l="1"/>
  <c r="C35" i="24"/>
  <c r="C28" i="24"/>
  <c r="C32" i="24"/>
  <c r="C36" i="24"/>
  <c r="C25" i="24"/>
  <c r="C29" i="24"/>
  <c r="C33" i="24"/>
  <c r="C37" i="24"/>
  <c r="C30" i="24"/>
  <c r="C34" i="24"/>
  <c r="C38" i="24"/>
  <c r="C15" i="23"/>
  <c r="C16" i="23" s="1"/>
  <c r="C13" i="23"/>
  <c r="D25" i="23"/>
  <c r="C25" i="23" l="1"/>
  <c r="D26" i="23"/>
  <c r="D27" i="23" l="1"/>
  <c r="C26" i="23"/>
  <c r="D28" i="23" l="1"/>
  <c r="C27" i="23"/>
  <c r="D29" i="23" l="1"/>
  <c r="C28" i="23"/>
  <c r="D30" i="23" l="1"/>
  <c r="C29" i="23"/>
  <c r="C30" i="23" l="1"/>
  <c r="D31" i="23"/>
  <c r="C31" i="23" l="1"/>
  <c r="D32" i="23"/>
  <c r="D33" i="23" l="1"/>
  <c r="C33" i="23" s="1"/>
  <c r="C32" i="23"/>
  <c r="H3" i="22" l="1"/>
  <c r="C5" i="22"/>
  <c r="H2" i="22" s="1"/>
  <c r="H5" i="22" s="1"/>
  <c r="C27" i="22"/>
  <c r="C4" i="22"/>
  <c r="H13" i="22" s="1"/>
  <c r="C2" i="22"/>
  <c r="C3" i="22" s="1"/>
  <c r="H4" i="22" l="1"/>
  <c r="H6" i="22" s="1"/>
  <c r="H7" i="22" s="1"/>
  <c r="H9" i="22" s="1"/>
  <c r="E8" i="14"/>
  <c r="F8" i="14" s="1"/>
  <c r="D8" i="14"/>
  <c r="C8" i="14"/>
  <c r="D7" i="14"/>
  <c r="E7" i="14" s="1"/>
  <c r="F7" i="14" s="1"/>
  <c r="C7" i="14"/>
  <c r="D6" i="14"/>
  <c r="C6" i="14"/>
  <c r="E6" i="14" s="1"/>
  <c r="F6" i="14" s="1"/>
  <c r="D5" i="14"/>
  <c r="C5" i="14"/>
  <c r="E5" i="14" s="1"/>
  <c r="F5" i="14" s="1"/>
  <c r="E4" i="14"/>
  <c r="F4" i="14" s="1"/>
  <c r="D4" i="14"/>
  <c r="C4" i="14"/>
  <c r="D3" i="14"/>
  <c r="E3" i="14" s="1"/>
  <c r="F3" i="14" s="1"/>
  <c r="F9" i="14" s="1"/>
  <c r="C3" i="14"/>
  <c r="H15" i="12"/>
  <c r="H13" i="12"/>
  <c r="H14" i="12" s="1"/>
  <c r="H16" i="12" s="1"/>
  <c r="H12" i="12"/>
  <c r="C9" i="12"/>
  <c r="C8" i="12"/>
  <c r="C5" i="12"/>
  <c r="C7" i="12" s="1"/>
  <c r="C4" i="12"/>
  <c r="E13" i="11"/>
  <c r="D13" i="11"/>
  <c r="C13" i="11"/>
  <c r="D12" i="11"/>
  <c r="C12" i="11"/>
  <c r="D11" i="11"/>
  <c r="C11" i="11"/>
  <c r="B11" i="11"/>
  <c r="E5" i="11"/>
  <c r="D5" i="11"/>
  <c r="C5" i="11"/>
  <c r="D4" i="11"/>
  <c r="E4" i="11" s="1"/>
  <c r="D3" i="11"/>
  <c r="C3" i="11"/>
  <c r="B3" i="11"/>
  <c r="C18" i="10"/>
  <c r="C17" i="10"/>
  <c r="C16" i="10"/>
  <c r="C15" i="10"/>
  <c r="C14" i="10"/>
  <c r="C13" i="10"/>
  <c r="B13" i="10"/>
  <c r="C12" i="10"/>
  <c r="B12" i="10"/>
  <c r="C11" i="10"/>
  <c r="B11" i="10"/>
  <c r="C10" i="10"/>
  <c r="B10" i="10"/>
  <c r="C9" i="10"/>
  <c r="B9" i="10"/>
  <c r="C8" i="10"/>
  <c r="B8" i="10"/>
  <c r="C7" i="10"/>
  <c r="B7" i="10"/>
  <c r="C6" i="10"/>
  <c r="B6" i="10"/>
  <c r="D23" i="9"/>
  <c r="D24" i="9" s="1"/>
  <c r="D22" i="9"/>
  <c r="C21" i="9"/>
  <c r="C15" i="9"/>
  <c r="B15" i="9"/>
  <c r="C8" i="9"/>
  <c r="C16" i="9" s="1"/>
  <c r="B8" i="9"/>
  <c r="B16" i="9" s="1"/>
  <c r="C7" i="9"/>
  <c r="B7" i="9"/>
  <c r="E15" i="9" s="1"/>
  <c r="C6" i="9"/>
  <c r="C14" i="9" s="1"/>
  <c r="B6" i="9"/>
  <c r="B14" i="9" s="1"/>
  <c r="C5" i="9"/>
  <c r="C13" i="9" s="1"/>
  <c r="B5" i="9"/>
  <c r="B13" i="9" s="1"/>
  <c r="G23" i="8"/>
  <c r="G22" i="8"/>
  <c r="G24" i="8" s="1"/>
  <c r="C21" i="8"/>
  <c r="C19" i="8"/>
  <c r="D22" i="8" s="1"/>
  <c r="D23" i="8" s="1"/>
  <c r="D24" i="8" s="1"/>
  <c r="C15" i="8"/>
  <c r="E14" i="8"/>
  <c r="B14" i="8"/>
  <c r="B13" i="8"/>
  <c r="C8" i="8"/>
  <c r="C16" i="8" s="1"/>
  <c r="B8" i="8"/>
  <c r="E16" i="8" s="1"/>
  <c r="C7" i="8"/>
  <c r="B7" i="8"/>
  <c r="B15" i="8" s="1"/>
  <c r="C6" i="8"/>
  <c r="C14" i="8" s="1"/>
  <c r="C5" i="8"/>
  <c r="C13" i="8" s="1"/>
  <c r="D13" i="8" s="1"/>
  <c r="F13" i="8" s="1"/>
  <c r="B5" i="8"/>
  <c r="E13" i="8" s="1"/>
  <c r="G23" i="7"/>
  <c r="G22" i="7"/>
  <c r="C21" i="7"/>
  <c r="C19" i="7"/>
  <c r="D22" i="7" s="1"/>
  <c r="B16" i="7"/>
  <c r="E14" i="7"/>
  <c r="B14" i="7"/>
  <c r="C8" i="7"/>
  <c r="C16" i="7" s="1"/>
  <c r="B8" i="7"/>
  <c r="E16" i="7" s="1"/>
  <c r="C7" i="7"/>
  <c r="C15" i="7" s="1"/>
  <c r="B7" i="7"/>
  <c r="B15" i="7" s="1"/>
  <c r="C6" i="7"/>
  <c r="C14" i="7" s="1"/>
  <c r="C5" i="7"/>
  <c r="C13" i="7" s="1"/>
  <c r="D13" i="7" s="1"/>
  <c r="F13" i="7" s="1"/>
  <c r="B5" i="7"/>
  <c r="B13" i="7" s="1"/>
  <c r="C21" i="6"/>
  <c r="C19" i="6"/>
  <c r="D22" i="6" s="1"/>
  <c r="D23" i="6" s="1"/>
  <c r="D24" i="6" s="1"/>
  <c r="C16" i="6"/>
  <c r="E14" i="6"/>
  <c r="B14" i="6"/>
  <c r="C13" i="6"/>
  <c r="D13" i="6" s="1"/>
  <c r="F13" i="6" s="1"/>
  <c r="C8" i="6"/>
  <c r="B8" i="6"/>
  <c r="B16" i="6" s="1"/>
  <c r="C7" i="6"/>
  <c r="C15" i="6" s="1"/>
  <c r="D15" i="6" s="1"/>
  <c r="F15" i="6" s="1"/>
  <c r="B7" i="6"/>
  <c r="E15" i="6" s="1"/>
  <c r="C6" i="6"/>
  <c r="C14" i="6" s="1"/>
  <c r="C5" i="6"/>
  <c r="B5" i="6"/>
  <c r="E13" i="6" s="1"/>
  <c r="D22" i="4"/>
  <c r="D23" i="4" s="1"/>
  <c r="D24" i="4" s="1"/>
  <c r="C21" i="4"/>
  <c r="E14" i="4"/>
  <c r="B14" i="4"/>
  <c r="C8" i="4"/>
  <c r="C16" i="4" s="1"/>
  <c r="B8" i="4"/>
  <c r="B16" i="4" s="1"/>
  <c r="C7" i="4"/>
  <c r="C15" i="4" s="1"/>
  <c r="B7" i="4"/>
  <c r="E15" i="4" s="1"/>
  <c r="C6" i="4"/>
  <c r="C14" i="4" s="1"/>
  <c r="B6" i="4"/>
  <c r="C5" i="4"/>
  <c r="C13" i="4" s="1"/>
  <c r="B5" i="4"/>
  <c r="E13" i="4" s="1"/>
  <c r="C21" i="3"/>
  <c r="C19" i="3"/>
  <c r="D22" i="3" s="1"/>
  <c r="D23" i="3" s="1"/>
  <c r="D24" i="3" s="1"/>
  <c r="D25" i="3" s="1"/>
  <c r="E14" i="3"/>
  <c r="C14" i="3"/>
  <c r="B14" i="3"/>
  <c r="C8" i="3"/>
  <c r="C16" i="3" s="1"/>
  <c r="B8" i="3"/>
  <c r="B16" i="3" s="1"/>
  <c r="C7" i="3"/>
  <c r="C15" i="3" s="1"/>
  <c r="D15" i="3" s="1"/>
  <c r="F15" i="3" s="1"/>
  <c r="B7" i="3"/>
  <c r="E15" i="3" s="1"/>
  <c r="C6" i="3"/>
  <c r="C5" i="3"/>
  <c r="C13" i="3" s="1"/>
  <c r="D13" i="3" s="1"/>
  <c r="F13" i="3" s="1"/>
  <c r="B5" i="3"/>
  <c r="B13" i="3" s="1"/>
  <c r="C21" i="5"/>
  <c r="C19" i="5"/>
  <c r="D22" i="5" s="1"/>
  <c r="D23" i="5" s="1"/>
  <c r="D24" i="5" s="1"/>
  <c r="D25" i="5" s="1"/>
  <c r="B16" i="5"/>
  <c r="C15" i="5"/>
  <c r="D15" i="5" s="1"/>
  <c r="F15" i="5" s="1"/>
  <c r="C8" i="5"/>
  <c r="C16" i="5" s="1"/>
  <c r="D16" i="5" s="1"/>
  <c r="F16" i="5" s="1"/>
  <c r="B8" i="5"/>
  <c r="E16" i="5" s="1"/>
  <c r="C7" i="5"/>
  <c r="B7" i="5"/>
  <c r="B15" i="5" s="1"/>
  <c r="C6" i="5"/>
  <c r="C14" i="5" s="1"/>
  <c r="D14" i="5" s="1"/>
  <c r="F14" i="5" s="1"/>
  <c r="B6" i="5"/>
  <c r="B14" i="5" s="1"/>
  <c r="C5" i="5"/>
  <c r="C13" i="5" s="1"/>
  <c r="D13" i="5" s="1"/>
  <c r="F13" i="5" s="1"/>
  <c r="B5" i="5"/>
  <c r="B13" i="5" s="1"/>
  <c r="D23" i="2"/>
  <c r="D24" i="2" s="1"/>
  <c r="D25" i="2" s="1"/>
  <c r="C22" i="2"/>
  <c r="E15" i="2"/>
  <c r="B15" i="2"/>
  <c r="C9" i="2"/>
  <c r="C17" i="2" s="1"/>
  <c r="B9" i="2"/>
  <c r="B17" i="2" s="1"/>
  <c r="C8" i="2"/>
  <c r="C16" i="2" s="1"/>
  <c r="B8" i="2"/>
  <c r="C7" i="2"/>
  <c r="C15" i="2" s="1"/>
  <c r="C6" i="2"/>
  <c r="C14" i="2" s="1"/>
  <c r="B6" i="2"/>
  <c r="E14" i="2" s="1"/>
  <c r="E15" i="12"/>
  <c r="G9" i="14"/>
  <c r="D12" i="12"/>
  <c r="D13" i="12"/>
  <c r="D14" i="12"/>
  <c r="D15" i="2" l="1"/>
  <c r="F15" i="2" s="1"/>
  <c r="D26" i="2"/>
  <c r="H10" i="22"/>
  <c r="H14" i="22"/>
  <c r="D16" i="2"/>
  <c r="F16" i="2" s="1"/>
  <c r="E14" i="5"/>
  <c r="E13" i="3"/>
  <c r="B15" i="3"/>
  <c r="D14" i="6"/>
  <c r="F14" i="6" s="1"/>
  <c r="E13" i="7"/>
  <c r="D25" i="4"/>
  <c r="B13" i="6"/>
  <c r="D16" i="6"/>
  <c r="F16" i="6" s="1"/>
  <c r="D23" i="7"/>
  <c r="D24" i="7" s="1"/>
  <c r="D25" i="7" s="1"/>
  <c r="B16" i="8"/>
  <c r="E12" i="11"/>
  <c r="C14" i="12"/>
  <c r="C13" i="12"/>
  <c r="D25" i="6"/>
  <c r="D25" i="8"/>
  <c r="E13" i="9"/>
  <c r="E11" i="11"/>
  <c r="C12" i="12"/>
  <c r="B14" i="2"/>
  <c r="E13" i="5"/>
  <c r="G24" i="7"/>
  <c r="E3" i="11"/>
  <c r="C6" i="12"/>
  <c r="D14" i="3"/>
  <c r="F14" i="3" s="1"/>
  <c r="D14" i="4"/>
  <c r="F14" i="4" s="1"/>
  <c r="D16" i="4"/>
  <c r="F16" i="4" s="1"/>
  <c r="D15" i="4"/>
  <c r="F15" i="4" s="1"/>
  <c r="D13" i="4"/>
  <c r="F13" i="4" s="1"/>
  <c r="D16" i="7"/>
  <c r="F16" i="7" s="1"/>
  <c r="D15" i="12"/>
  <c r="D16" i="3"/>
  <c r="F16" i="3" s="1"/>
  <c r="D15" i="7"/>
  <c r="F15" i="7" s="1"/>
  <c r="D14" i="8"/>
  <c r="F14" i="8" s="1"/>
  <c r="D16" i="8"/>
  <c r="F16" i="8" s="1"/>
  <c r="D16" i="9"/>
  <c r="F16" i="9" s="1"/>
  <c r="D15" i="9"/>
  <c r="F15" i="9" s="1"/>
  <c r="D14" i="9"/>
  <c r="F14" i="9" s="1"/>
  <c r="D13" i="9"/>
  <c r="F13" i="9" s="1"/>
  <c r="E6" i="11"/>
  <c r="D14" i="7"/>
  <c r="F14" i="7" s="1"/>
  <c r="E14" i="11"/>
  <c r="E16" i="2"/>
  <c r="B16" i="2"/>
  <c r="D15" i="8"/>
  <c r="F15" i="8" s="1"/>
  <c r="D25" i="9"/>
  <c r="E16" i="3"/>
  <c r="E16" i="9"/>
  <c r="C6" i="11"/>
  <c r="C14" i="11"/>
  <c r="D14" i="2"/>
  <c r="F14" i="2" s="1"/>
  <c r="E17" i="2"/>
  <c r="E15" i="5"/>
  <c r="B15" i="4"/>
  <c r="E16" i="4"/>
  <c r="B15" i="6"/>
  <c r="E16" i="6"/>
  <c r="E15" i="7"/>
  <c r="E15" i="8"/>
  <c r="E14" i="9"/>
  <c r="B13" i="4"/>
  <c r="D17" i="2"/>
  <c r="F1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Ali, Kashif (BHGE)</author>
  </authors>
  <commentList>
    <comment ref="B5" authorId="0" shapeId="0" xr:uid="{4DEE5B72-9FFD-4AD6-B41F-C5FE325DC4BF}">
      <text>
        <r>
          <rPr>
            <sz val="10"/>
            <color indexed="81"/>
            <rFont val="GE Inspira Book"/>
            <family val="2"/>
          </rPr>
          <t>Simulation of block based on corrective maintenance at time to failure = 340 hours &amp; "on condition" based on " fixed time frame based on items age"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<sst xmlns="http://schemas.openxmlformats.org/spreadsheetml/2006/main" count="292" uniqueCount="227">
  <si>
    <t>Time, t (hr)</t>
  </si>
  <si>
    <t>Vth, (Volts)</t>
  </si>
  <si>
    <t>Time; t (hr)</t>
  </si>
  <si>
    <t>Vth (Volts)</t>
  </si>
  <si>
    <t>ln(t)</t>
  </si>
  <si>
    <r>
      <t>ln[(V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 = mln (t) + ln(Ao)</t>
    </r>
  </si>
  <si>
    <r>
      <t>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</si>
  <si>
    <r>
      <t>ln[(V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</t>
    </r>
  </si>
  <si>
    <t>m=.2569</t>
  </si>
  <si>
    <t>ln(Ao) = -3.5</t>
  </si>
  <si>
    <r>
      <t>Vth=(Vth)o[1 - Ao(t)</t>
    </r>
    <r>
      <rPr>
        <vertAlign val="superscript"/>
        <sz val="12"/>
        <color rgb="FF0000FF"/>
        <rFont val="GE Inspira Serif"/>
        <family val="1"/>
      </rPr>
      <t>m</t>
    </r>
    <r>
      <rPr>
        <sz val="12"/>
        <color rgb="FF0000FF"/>
        <rFont val="GE Inspira Serif"/>
        <family val="1"/>
      </rPr>
      <t>]</t>
    </r>
  </si>
  <si>
    <r>
      <t>Vth=0.75[1 - 0.03/(hr)</t>
    </r>
    <r>
      <rPr>
        <vertAlign val="superscript"/>
        <sz val="12"/>
        <color rgb="FF0000FF"/>
        <rFont val="GE Inspira Serif"/>
        <family val="1"/>
      </rPr>
      <t>0.25</t>
    </r>
    <r>
      <rPr>
        <sz val="12"/>
        <color rgb="FF0000FF"/>
        <rFont val="GE Inspira Serif"/>
        <family val="1"/>
      </rPr>
      <t xml:space="preserve"> x t </t>
    </r>
    <r>
      <rPr>
        <vertAlign val="superscript"/>
        <sz val="12"/>
        <color rgb="FF0000FF"/>
        <rFont val="GE Inspira Serif"/>
        <family val="1"/>
      </rPr>
      <t>0.25</t>
    </r>
    <r>
      <rPr>
        <sz val="12"/>
        <color rgb="FF0000FF"/>
        <rFont val="GE Inspira Serif"/>
        <family val="1"/>
      </rPr>
      <t>]]</t>
    </r>
  </si>
  <si>
    <r>
      <t>V</t>
    </r>
    <r>
      <rPr>
        <vertAlign val="subscript"/>
        <sz val="12"/>
        <color rgb="FF0000FF"/>
        <rFont val="GE Inspira Serif"/>
        <family val="1"/>
      </rPr>
      <t>threshold</t>
    </r>
  </si>
  <si>
    <r>
      <t>ln[(V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 - 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)o / (V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)o] = mln (t) + ln(Ao)</t>
    </r>
  </si>
  <si>
    <t>ln(Ao) = -3</t>
  </si>
  <si>
    <t>Ao=exp(-3)</t>
  </si>
  <si>
    <r>
      <t>Vth=(Vth)o[1 + Ao(t)</t>
    </r>
    <r>
      <rPr>
        <vertAlign val="superscript"/>
        <sz val="12"/>
        <color rgb="FF0000FF"/>
        <rFont val="GE Inspira Serif"/>
        <family val="1"/>
      </rPr>
      <t>m</t>
    </r>
    <r>
      <rPr>
        <sz val="12"/>
        <color rgb="FF0000FF"/>
        <rFont val="GE Inspira Serif"/>
        <family val="1"/>
      </rPr>
      <t>]</t>
    </r>
  </si>
  <si>
    <t>Ao=exp(-3.518)</t>
  </si>
  <si>
    <t>m</t>
  </si>
  <si>
    <r>
      <t>Vth=0.4[1 + 0.05/(hr)</t>
    </r>
    <r>
      <rPr>
        <vertAlign val="superscript"/>
        <sz val="12"/>
        <color rgb="FF0000FF"/>
        <rFont val="GE Inspira Serif"/>
        <family val="1"/>
      </rPr>
      <t>0.3</t>
    </r>
    <r>
      <rPr>
        <sz val="12"/>
        <color rgb="FF0000FF"/>
        <rFont val="GE Inspira Serif"/>
        <family val="1"/>
      </rPr>
      <t xml:space="preserve"> x t </t>
    </r>
    <r>
      <rPr>
        <vertAlign val="superscript"/>
        <sz val="12"/>
        <color rgb="FF0000FF"/>
        <rFont val="GE Inspira Serif"/>
        <family val="1"/>
      </rPr>
      <t>0.3</t>
    </r>
    <r>
      <rPr>
        <sz val="12"/>
        <color rgb="FF0000FF"/>
        <rFont val="GE Inspira Serif"/>
        <family val="1"/>
      </rPr>
      <t>]]</t>
    </r>
  </si>
  <si>
    <t>Time, (day)</t>
  </si>
  <si>
    <r>
      <t>P (lb/in</t>
    </r>
    <r>
      <rPr>
        <vertAlign val="subscript"/>
        <sz val="12"/>
        <color rgb="FF0000FF"/>
        <rFont val="GE Inspira Serif"/>
        <family val="1"/>
      </rPr>
      <t>2</t>
    </r>
    <r>
      <rPr>
        <sz val="12"/>
        <color rgb="FF0000FF"/>
        <rFont val="GE Inspira Serif"/>
        <family val="1"/>
      </rPr>
      <t>)</t>
    </r>
  </si>
  <si>
    <t>m=.6</t>
  </si>
  <si>
    <t>Ao=exp(-3.2)</t>
  </si>
  <si>
    <r>
      <t>ln[(P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 = mln (t) + ln(Ao)</t>
    </r>
  </si>
  <si>
    <t>Pth (Psi)</t>
  </si>
  <si>
    <r>
      <t>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</si>
  <si>
    <r>
      <t>ln[(P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(P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</t>
    </r>
  </si>
  <si>
    <t xml:space="preserve">ln(Ao) </t>
  </si>
  <si>
    <r>
      <t>Pth=(Pth)o[1 - Ao(t)</t>
    </r>
    <r>
      <rPr>
        <vertAlign val="superscript"/>
        <sz val="12"/>
        <color rgb="FF0000FF"/>
        <rFont val="GE Inspira Serif"/>
        <family val="1"/>
      </rPr>
      <t>m</t>
    </r>
    <r>
      <rPr>
        <sz val="12"/>
        <color rgb="FF0000FF"/>
        <rFont val="GE Inspira Serif"/>
        <family val="1"/>
      </rPr>
      <t>]</t>
    </r>
  </si>
  <si>
    <r>
      <t>Pth=32[1 - 0.04/(hr)</t>
    </r>
    <r>
      <rPr>
        <vertAlign val="superscript"/>
        <sz val="12"/>
        <color rgb="FF0000FF"/>
        <rFont val="GE Inspira Serif"/>
        <family val="1"/>
      </rPr>
      <t>0.6</t>
    </r>
    <r>
      <rPr>
        <sz val="12"/>
        <color rgb="FF0000FF"/>
        <rFont val="GE Inspira Serif"/>
        <family val="1"/>
      </rPr>
      <t xml:space="preserve"> x t </t>
    </r>
    <r>
      <rPr>
        <vertAlign val="superscript"/>
        <sz val="12"/>
        <color rgb="FF0000FF"/>
        <rFont val="GE Inspira Serif"/>
        <family val="1"/>
      </rPr>
      <t>0.6</t>
    </r>
    <r>
      <rPr>
        <sz val="12"/>
        <color rgb="FF0000FF"/>
        <rFont val="GE Inspira Serif"/>
        <family val="1"/>
      </rPr>
      <t>]]</t>
    </r>
  </si>
  <si>
    <r>
      <t xml:space="preserve">Since m </t>
    </r>
    <r>
      <rPr>
        <sz val="12"/>
        <color rgb="FF0000FF"/>
        <rFont val="Garamond"/>
        <family val="1"/>
      </rPr>
      <t>&lt;</t>
    </r>
    <r>
      <rPr>
        <sz val="12"/>
        <color rgb="FF0000FF"/>
        <rFont val="GE Inspira Serif"/>
        <family val="1"/>
      </rPr>
      <t xml:space="preserve"> 1 than degradation rate is decreasing with time</t>
    </r>
  </si>
  <si>
    <t>Decreasing Degradation</t>
  </si>
  <si>
    <t>Increasing Degradation</t>
  </si>
  <si>
    <t>Number of cycles</t>
  </si>
  <si>
    <r>
      <t>Crack size; CS -</t>
    </r>
    <r>
      <rPr>
        <sz val="12"/>
        <color rgb="FF0000FF"/>
        <rFont val="Garamond"/>
        <family val="1"/>
      </rPr>
      <t>µm</t>
    </r>
  </si>
  <si>
    <t>ln(Ao) = -13.82</t>
  </si>
  <si>
    <t>Ao=exp(-13.82)</t>
  </si>
  <si>
    <r>
      <t>CS=(CS)o[1 + Ao(t)</t>
    </r>
    <r>
      <rPr>
        <vertAlign val="superscript"/>
        <sz val="12"/>
        <color rgb="FF0000FF"/>
        <rFont val="GE Inspira Serif"/>
        <family val="1"/>
      </rPr>
      <t>m</t>
    </r>
    <r>
      <rPr>
        <sz val="12"/>
        <color rgb="FF0000FF"/>
        <rFont val="GE Inspira Serif"/>
        <family val="1"/>
      </rPr>
      <t>]</t>
    </r>
  </si>
  <si>
    <t>ln[(CS) - (CS)o / (CS)o] = mln (t) + ln(Ao)</t>
  </si>
  <si>
    <r>
      <t xml:space="preserve">Since m </t>
    </r>
    <r>
      <rPr>
        <sz val="12"/>
        <color rgb="FF0000FF"/>
        <rFont val="Garamond"/>
        <family val="1"/>
      </rPr>
      <t>&gt;</t>
    </r>
    <r>
      <rPr>
        <sz val="12"/>
        <color rgb="FF0000FF"/>
        <rFont val="GE Inspira Serif"/>
        <family val="1"/>
      </rPr>
      <t xml:space="preserve"> 1 than degradation rate is increasing with time</t>
    </r>
  </si>
  <si>
    <t>CS</t>
  </si>
  <si>
    <r>
      <t>(CS)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CS / (CS)</t>
    </r>
    <r>
      <rPr>
        <vertAlign val="subscript"/>
        <sz val="12"/>
        <color rgb="FF0000FF"/>
        <rFont val="GE Inspira Serif"/>
        <family val="1"/>
      </rPr>
      <t>O</t>
    </r>
  </si>
  <si>
    <r>
      <t>ln[(CS)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CS / (CS)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</t>
    </r>
  </si>
  <si>
    <r>
      <rPr>
        <sz val="12"/>
        <color rgb="FF0000FF"/>
        <rFont val="GE Inspira Serif"/>
        <family val="1"/>
      </rPr>
      <t>P</t>
    </r>
    <r>
      <rPr>
        <vertAlign val="subscript"/>
        <sz val="12"/>
        <color rgb="FF0000FF"/>
        <rFont val="GE Inspira Serif"/>
        <family val="1"/>
      </rPr>
      <t>threshold</t>
    </r>
  </si>
  <si>
    <r>
      <t>CS=1[1 + 1E06/(hr)</t>
    </r>
    <r>
      <rPr>
        <vertAlign val="superscript"/>
        <sz val="12"/>
        <color rgb="FF0000FF"/>
        <rFont val="GE Inspira Serif"/>
        <family val="1"/>
      </rPr>
      <t>3</t>
    </r>
    <r>
      <rPr>
        <sz val="12"/>
        <color rgb="FF0000FF"/>
        <rFont val="GE Inspira Serif"/>
        <family val="1"/>
      </rPr>
      <t xml:space="preserve"> x t </t>
    </r>
    <r>
      <rPr>
        <vertAlign val="superscript"/>
        <sz val="12"/>
        <color rgb="FF0000FF"/>
        <rFont val="GE Inspira Serif"/>
        <family val="1"/>
      </rPr>
      <t>3</t>
    </r>
    <r>
      <rPr>
        <sz val="12"/>
        <color rgb="FF0000FF"/>
        <rFont val="GE Inspira Serif"/>
        <family val="1"/>
      </rPr>
      <t>]]</t>
    </r>
  </si>
  <si>
    <t>Resistance (Ohms)</t>
  </si>
  <si>
    <t>ln(Ao) = -6.2</t>
  </si>
  <si>
    <t>Ao=exp(-6.2)</t>
  </si>
  <si>
    <t>Rth (Volts)</t>
  </si>
  <si>
    <r>
      <t>Oxide Thickness,T</t>
    </r>
    <r>
      <rPr>
        <vertAlign val="subscript"/>
        <sz val="12"/>
        <color rgb="FF0000FF"/>
        <rFont val="Calibri Light"/>
        <family val="2"/>
      </rPr>
      <t>ox (µm)</t>
    </r>
  </si>
  <si>
    <r>
      <t>T</t>
    </r>
    <r>
      <rPr>
        <vertAlign val="subscript"/>
        <sz val="12"/>
        <color rgb="FF0000FF"/>
        <rFont val="Calibri Light"/>
        <family val="2"/>
      </rPr>
      <t>ox (µ</t>
    </r>
    <r>
      <rPr>
        <vertAlign val="subscript"/>
        <sz val="12"/>
        <color rgb="FF0000FF"/>
        <rFont val="GE Inspira Serif"/>
        <family val="1"/>
      </rPr>
      <t>m)</t>
    </r>
  </si>
  <si>
    <r>
      <t>(T</t>
    </r>
    <r>
      <rPr>
        <vertAlign val="subscript"/>
        <sz val="12"/>
        <color rgb="FF0000FF"/>
        <rFont val="GE Inspira Serif"/>
        <family val="1"/>
      </rPr>
      <t>ox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T</t>
    </r>
    <r>
      <rPr>
        <vertAlign val="subscript"/>
        <sz val="12"/>
        <color rgb="FF0000FF"/>
        <rFont val="GE Inspira Serif"/>
        <family val="1"/>
      </rPr>
      <t>ox</t>
    </r>
    <r>
      <rPr>
        <sz val="12"/>
        <color rgb="FF0000FF"/>
        <rFont val="GE Inspira Serif"/>
        <family val="1"/>
      </rPr>
      <t>/ (T</t>
    </r>
    <r>
      <rPr>
        <vertAlign val="subscript"/>
        <sz val="12"/>
        <color rgb="FF0000FF"/>
        <rFont val="GE Inspira Serif"/>
        <family val="1"/>
      </rPr>
      <t>ox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</si>
  <si>
    <r>
      <t>ln[(Tox)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 xml:space="preserve"> - Tox 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 xml:space="preserve"> / (Tox </t>
    </r>
    <r>
      <rPr>
        <vertAlign val="subscript"/>
        <sz val="12"/>
        <color rgb="FF0000FF"/>
        <rFont val="GE Inspira Serif"/>
        <family val="1"/>
      </rPr>
      <t>th</t>
    </r>
    <r>
      <rPr>
        <sz val="12"/>
        <color rgb="FF0000FF"/>
        <rFont val="GE Inspira Serif"/>
        <family val="1"/>
      </rPr>
      <t>)</t>
    </r>
    <r>
      <rPr>
        <vertAlign val="subscript"/>
        <sz val="12"/>
        <color rgb="FF0000FF"/>
        <rFont val="GE Inspira Serif"/>
        <family val="1"/>
      </rPr>
      <t>O</t>
    </r>
    <r>
      <rPr>
        <sz val="12"/>
        <color rgb="FF0000FF"/>
        <rFont val="GE Inspira Serif"/>
        <family val="1"/>
      </rPr>
      <t>]</t>
    </r>
  </si>
  <si>
    <t>ln(Ao) = -.106</t>
  </si>
  <si>
    <t>Ao=exp(-.106)</t>
  </si>
  <si>
    <r>
      <t>T</t>
    </r>
    <r>
      <rPr>
        <vertAlign val="subscript"/>
        <sz val="12"/>
        <color rgb="FF0000FF"/>
        <rFont val="GE Inspira Serif"/>
        <family val="1"/>
      </rPr>
      <t>ox th</t>
    </r>
    <r>
      <rPr>
        <sz val="12"/>
        <color rgb="FF0000FF"/>
        <rFont val="GE Inspira Serif"/>
        <family val="1"/>
      </rPr>
      <t>=(T</t>
    </r>
    <r>
      <rPr>
        <vertAlign val="subscript"/>
        <sz val="12"/>
        <color rgb="FF0000FF"/>
        <rFont val="GE Inspira Serif"/>
        <family val="1"/>
      </rPr>
      <t>ox th</t>
    </r>
    <r>
      <rPr>
        <sz val="12"/>
        <color rgb="FF0000FF"/>
        <rFont val="GE Inspira Serif"/>
        <family val="1"/>
      </rPr>
      <t>)o[1 + Ao(t)</t>
    </r>
    <r>
      <rPr>
        <vertAlign val="superscript"/>
        <sz val="12"/>
        <color rgb="FF0000FF"/>
        <rFont val="GE Inspira Serif"/>
        <family val="1"/>
      </rPr>
      <t>m</t>
    </r>
    <r>
      <rPr>
        <sz val="12"/>
        <color rgb="FF0000FF"/>
        <rFont val="GE Inspira Serif"/>
        <family val="1"/>
      </rPr>
      <t>]</t>
    </r>
  </si>
  <si>
    <r>
      <t>T ox th=1[1 + 0.09/(hr)</t>
    </r>
    <r>
      <rPr>
        <vertAlign val="superscript"/>
        <sz val="12"/>
        <color rgb="FF0000FF"/>
        <rFont val="GE Inspira Serif"/>
        <family val="1"/>
      </rPr>
      <t>1.5</t>
    </r>
    <r>
      <rPr>
        <sz val="12"/>
        <color rgb="FF0000FF"/>
        <rFont val="GE Inspira Serif"/>
        <family val="1"/>
      </rPr>
      <t xml:space="preserve"> x t</t>
    </r>
    <r>
      <rPr>
        <vertAlign val="superscript"/>
        <sz val="12"/>
        <color rgb="FF0000FF"/>
        <rFont val="GE Inspira Serif"/>
        <family val="1"/>
      </rPr>
      <t xml:space="preserve"> 0.5</t>
    </r>
    <r>
      <rPr>
        <sz val="12"/>
        <color rgb="FF0000FF"/>
        <rFont val="GE Inspira Serif"/>
        <family val="1"/>
      </rPr>
      <t>]]</t>
    </r>
  </si>
  <si>
    <r>
      <rPr>
        <sz val="12"/>
        <color rgb="FF0000FF"/>
        <rFont val="GE Inspira Serif"/>
        <family val="1"/>
      </rPr>
      <t>T</t>
    </r>
    <r>
      <rPr>
        <vertAlign val="subscript"/>
        <sz val="12"/>
        <color rgb="FF0000FF"/>
        <rFont val="GE Inspira Serif"/>
        <family val="1"/>
      </rPr>
      <t xml:space="preserve"> ox threshold </t>
    </r>
    <r>
      <rPr>
        <sz val="12"/>
        <color rgb="FF0000FF"/>
        <rFont val="Calibri Light"/>
        <family val="2"/>
      </rPr>
      <t>(µ</t>
    </r>
    <r>
      <rPr>
        <vertAlign val="subscript"/>
        <sz val="12"/>
        <color rgb="FF0000FF"/>
        <rFont val="GE Inspira Serif"/>
        <family val="1"/>
      </rPr>
      <t>m)</t>
    </r>
  </si>
  <si>
    <r>
      <t xml:space="preserve">Since m </t>
    </r>
    <r>
      <rPr>
        <sz val="12"/>
        <color rgb="FF0000FF"/>
        <rFont val="Garamond"/>
        <family val="1"/>
      </rPr>
      <t>&lt;</t>
    </r>
    <r>
      <rPr>
        <sz val="12"/>
        <color rgb="FF0000FF"/>
        <rFont val="GE Inspira Serif"/>
        <family val="1"/>
      </rPr>
      <t xml:space="preserve"> 1 than degradation rate is DECREASING with time</t>
    </r>
  </si>
  <si>
    <t>PSA</t>
  </si>
  <si>
    <t>ln(Ao) = -2.3026</t>
  </si>
  <si>
    <t>Ao=exp(-2.3026)</t>
  </si>
  <si>
    <t>Time, (year)</t>
  </si>
  <si>
    <t>(Na/K) Ratio</t>
  </si>
  <si>
    <t>m=.4</t>
  </si>
  <si>
    <t>Ao=exp(-4.6)</t>
  </si>
  <si>
    <t>Na / K</t>
  </si>
  <si>
    <t>The fuel efficiency for a new auto remained very stable during the first 12 months of use.</t>
  </si>
  <si>
    <t>Time (Mo)</t>
  </si>
  <si>
    <t>Efficiency (MPG)</t>
  </si>
  <si>
    <t>R = d (Eff)/dt (MPG / Mo)</t>
  </si>
  <si>
    <t>Equivalent Revolutions; Nr</t>
  </si>
  <si>
    <t>Total</t>
  </si>
  <si>
    <t>Load; Li</t>
  </si>
  <si>
    <t>Actual Revolutions; Nr</t>
  </si>
  <si>
    <t>Load; LR</t>
  </si>
  <si>
    <t>Equivalent Revolutions; Ni</t>
  </si>
  <si>
    <t>Operating time (hours)</t>
  </si>
  <si>
    <t>Probability of switching</t>
  </si>
  <si>
    <t>CTDT</t>
  </si>
  <si>
    <t>Components</t>
  </si>
  <si>
    <t>No. of Components</t>
  </si>
  <si>
    <t>Failure rate per hour</t>
  </si>
  <si>
    <t>A</t>
  </si>
  <si>
    <t>B</t>
  </si>
  <si>
    <t>C</t>
  </si>
  <si>
    <t>D</t>
  </si>
  <si>
    <t>E</t>
  </si>
  <si>
    <t>F</t>
  </si>
  <si>
    <t>R (1,000)</t>
  </si>
  <si>
    <t>Sum failure rate per hour</t>
  </si>
  <si>
    <t>Since m &lt; 1 than rate of reduction is decreasing with time</t>
  </si>
  <si>
    <r>
      <t>ln[(P</t>
    </r>
    <r>
      <rPr>
        <vertAlign val="subscript"/>
        <sz val="12"/>
        <color rgb="FF0000FF"/>
        <rFont val="GE Inspira Book"/>
        <family val="2"/>
      </rPr>
      <t>th</t>
    </r>
    <r>
      <rPr>
        <sz val="12"/>
        <color rgb="FF0000FF"/>
        <rFont val="GE Inspira Book"/>
        <family val="2"/>
      </rPr>
      <t>)</t>
    </r>
    <r>
      <rPr>
        <vertAlign val="subscript"/>
        <sz val="12"/>
        <color rgb="FF0000FF"/>
        <rFont val="GE Inspira Book"/>
        <family val="2"/>
      </rPr>
      <t>O</t>
    </r>
    <r>
      <rPr>
        <sz val="12"/>
        <color rgb="FF0000FF"/>
        <rFont val="GE Inspira Book"/>
        <family val="2"/>
      </rPr>
      <t xml:space="preserve"> - P</t>
    </r>
    <r>
      <rPr>
        <vertAlign val="subscript"/>
        <sz val="12"/>
        <color rgb="FF0000FF"/>
        <rFont val="GE Inspira Book"/>
        <family val="2"/>
      </rPr>
      <t>th</t>
    </r>
    <r>
      <rPr>
        <sz val="12"/>
        <color rgb="FF0000FF"/>
        <rFont val="GE Inspira Book"/>
        <family val="2"/>
      </rPr>
      <t xml:space="preserve"> / (P</t>
    </r>
    <r>
      <rPr>
        <vertAlign val="subscript"/>
        <sz val="12"/>
        <color rgb="FF0000FF"/>
        <rFont val="GE Inspira Book"/>
        <family val="2"/>
      </rPr>
      <t>th</t>
    </r>
    <r>
      <rPr>
        <sz val="12"/>
        <color rgb="FF0000FF"/>
        <rFont val="GE Inspira Book"/>
        <family val="2"/>
      </rPr>
      <t>)</t>
    </r>
    <r>
      <rPr>
        <vertAlign val="subscript"/>
        <sz val="12"/>
        <color rgb="FF0000FF"/>
        <rFont val="GE Inspira Book"/>
        <family val="2"/>
      </rPr>
      <t>O</t>
    </r>
    <r>
      <rPr>
        <sz val="12"/>
        <color rgb="FF0000FF"/>
        <rFont val="GE Inspira Book"/>
        <family val="2"/>
      </rPr>
      <t>] = mln (t) + ln(Ao)</t>
    </r>
  </si>
  <si>
    <r>
      <t>(Na/ K)</t>
    </r>
    <r>
      <rPr>
        <vertAlign val="subscript"/>
        <sz val="12"/>
        <color rgb="FF0000FF"/>
        <rFont val="GE Inspira Book"/>
        <family val="2"/>
      </rPr>
      <t>O</t>
    </r>
    <r>
      <rPr>
        <sz val="12"/>
        <color rgb="FF0000FF"/>
        <rFont val="GE Inspira Book"/>
        <family val="2"/>
      </rPr>
      <t xml:space="preserve"> - Na /K </t>
    </r>
    <r>
      <rPr>
        <vertAlign val="subscript"/>
        <sz val="12"/>
        <color rgb="FF0000FF"/>
        <rFont val="GE Inspira Book"/>
        <family val="2"/>
      </rPr>
      <t>th</t>
    </r>
    <r>
      <rPr>
        <sz val="12"/>
        <color rgb="FF0000FF"/>
        <rFont val="GE Inspira Book"/>
        <family val="2"/>
      </rPr>
      <t xml:space="preserve"> / (Na / K)</t>
    </r>
    <r>
      <rPr>
        <vertAlign val="subscript"/>
        <sz val="12"/>
        <color rgb="FF0000FF"/>
        <rFont val="GE Inspira Book"/>
        <family val="2"/>
      </rPr>
      <t>O</t>
    </r>
  </si>
  <si>
    <r>
      <t>ln[(Na / K )</t>
    </r>
    <r>
      <rPr>
        <vertAlign val="subscript"/>
        <sz val="12"/>
        <color rgb="FF0000FF"/>
        <rFont val="GE Inspira Book"/>
        <family val="2"/>
      </rPr>
      <t>O</t>
    </r>
    <r>
      <rPr>
        <sz val="12"/>
        <color rgb="FF0000FF"/>
        <rFont val="GE Inspira Book"/>
        <family val="2"/>
      </rPr>
      <t xml:space="preserve"> - Na / K </t>
    </r>
    <r>
      <rPr>
        <vertAlign val="subscript"/>
        <sz val="12"/>
        <color rgb="FF0000FF"/>
        <rFont val="GE Inspira Book"/>
        <family val="2"/>
      </rPr>
      <t>th</t>
    </r>
    <r>
      <rPr>
        <sz val="12"/>
        <color rgb="FF0000FF"/>
        <rFont val="GE Inspira Book"/>
        <family val="2"/>
      </rPr>
      <t xml:space="preserve"> / (Na / K)</t>
    </r>
    <r>
      <rPr>
        <vertAlign val="subscript"/>
        <sz val="12"/>
        <color rgb="FF0000FF"/>
        <rFont val="GE Inspira Book"/>
        <family val="2"/>
      </rPr>
      <t>O</t>
    </r>
    <r>
      <rPr>
        <sz val="12"/>
        <color rgb="FF0000FF"/>
        <rFont val="GE Inspira Book"/>
        <family val="2"/>
      </rPr>
      <t>]</t>
    </r>
  </si>
  <si>
    <r>
      <t>Na / K =31.93[1 - 0.01/(yr)</t>
    </r>
    <r>
      <rPr>
        <vertAlign val="superscript"/>
        <sz val="12"/>
        <color rgb="FF0000FF"/>
        <rFont val="GE Inspira Book"/>
        <family val="2"/>
      </rPr>
      <t>0.4</t>
    </r>
    <r>
      <rPr>
        <sz val="12"/>
        <color rgb="FF0000FF"/>
        <rFont val="GE Inspira Book"/>
        <family val="2"/>
      </rPr>
      <t xml:space="preserve"> x t </t>
    </r>
    <r>
      <rPr>
        <vertAlign val="superscript"/>
        <sz val="12"/>
        <color rgb="FF0000FF"/>
        <rFont val="GE Inspira Book"/>
        <family val="2"/>
      </rPr>
      <t>0.4</t>
    </r>
    <r>
      <rPr>
        <sz val="12"/>
        <color rgb="FF0000FF"/>
        <rFont val="GE Inspira Book"/>
        <family val="2"/>
      </rPr>
      <t>]]</t>
    </r>
  </si>
  <si>
    <r>
      <rPr>
        <sz val="12"/>
        <color rgb="FF0000FF"/>
        <rFont val="GE Inspira Book"/>
        <family val="2"/>
      </rPr>
      <t>P</t>
    </r>
    <r>
      <rPr>
        <vertAlign val="subscript"/>
        <sz val="12"/>
        <color rgb="FF0000FF"/>
        <rFont val="GE Inspira Book"/>
        <family val="2"/>
      </rPr>
      <t>threshold</t>
    </r>
  </si>
  <si>
    <t>Material</t>
  </si>
  <si>
    <t>Effect of temperature cycle exponent</t>
  </si>
  <si>
    <t>Soft metals (Solder, Aluminum, plastics, copper)</t>
  </si>
  <si>
    <t>1 to 3</t>
  </si>
  <si>
    <t>High cycles to fatigue failure at stress level</t>
  </si>
  <si>
    <t>Hard metals / Intermetallics (Kevlar, Steels, alloys (Al, Ti, etc)</t>
  </si>
  <si>
    <t>3 to 6</t>
  </si>
  <si>
    <t>Medium cycles to fatigue failure at stress level</t>
  </si>
  <si>
    <t>Brittle materials ( Cast iron, ceramics , glass)</t>
  </si>
  <si>
    <t>6 to 9</t>
  </si>
  <si>
    <t>Low cycles to fatigue failure at stress level</t>
  </si>
  <si>
    <r>
      <t>Load; L</t>
    </r>
    <r>
      <rPr>
        <vertAlign val="subscript"/>
        <sz val="12"/>
        <color theme="1"/>
        <rFont val="Franklin Gothic Medium"/>
        <family val="2"/>
      </rPr>
      <t>i</t>
    </r>
  </si>
  <si>
    <r>
      <t>Actual Revolutions; n</t>
    </r>
    <r>
      <rPr>
        <vertAlign val="subscript"/>
        <sz val="12"/>
        <color theme="1"/>
        <rFont val="Franklin Gothic Medium"/>
        <family val="2"/>
      </rPr>
      <t>i</t>
    </r>
  </si>
  <si>
    <r>
      <t>Load; L</t>
    </r>
    <r>
      <rPr>
        <vertAlign val="subscript"/>
        <sz val="12"/>
        <color theme="1"/>
        <rFont val="Franklin Gothic Medium"/>
        <family val="2"/>
      </rPr>
      <t>R</t>
    </r>
  </si>
  <si>
    <r>
      <rPr>
        <b/>
        <u/>
        <sz val="12"/>
        <color rgb="FF0000FF"/>
        <rFont val="Franklin Gothic Medium"/>
        <family val="2"/>
      </rPr>
      <t>Conclusion:</t>
    </r>
    <r>
      <rPr>
        <b/>
        <sz val="12"/>
        <color rgb="FF0000FF"/>
        <rFont val="Franklin Gothic Medium"/>
        <family val="2"/>
      </rPr>
      <t xml:space="preserve"> 1220000 revolutions at varying loads is equivalent to 980,918 revolutions at a fixed load of 4,000 lbf</t>
    </r>
  </si>
  <si>
    <t>However, after about 1 year of use, a measurable degradation occurred in the efficiency (Eff) as shown in the below table</t>
  </si>
  <si>
    <t>Hours</t>
  </si>
  <si>
    <t>Find natural logarithm of mean</t>
  </si>
  <si>
    <t>Logarithmic standard deviation</t>
  </si>
  <si>
    <t>Report Type</t>
  </si>
  <si>
    <t>Weibull++ QCP</t>
  </si>
  <si>
    <t>User Info</t>
  </si>
  <si>
    <t>Name</t>
  </si>
  <si>
    <t>Kashif Ali</t>
  </si>
  <si>
    <t>Company</t>
  </si>
  <si>
    <t>General Electric</t>
  </si>
  <si>
    <t>Date</t>
  </si>
  <si>
    <t>User Inputs</t>
  </si>
  <si>
    <t>Mission End Time (hr)</t>
  </si>
  <si>
    <t>Weibull++ Output</t>
  </si>
  <si>
    <t>Q(t=70080)</t>
  </si>
  <si>
    <r>
      <t>Median time to failure (t</t>
    </r>
    <r>
      <rPr>
        <vertAlign val="subscript"/>
        <sz val="12"/>
        <color theme="1"/>
        <rFont val="GE Inspira Book"/>
        <family val="2"/>
      </rPr>
      <t>50</t>
    </r>
    <r>
      <rPr>
        <sz val="12"/>
        <color theme="1"/>
        <rFont val="GE Inspira Book"/>
        <family val="2"/>
      </rPr>
      <t>)</t>
    </r>
  </si>
  <si>
    <t>Results Report</t>
  </si>
  <si>
    <t>Failure Rate per hour</t>
  </si>
  <si>
    <t>time(t)</t>
  </si>
  <si>
    <t>Ln (t)</t>
  </si>
  <si>
    <r>
      <t>Ln (t</t>
    </r>
    <r>
      <rPr>
        <vertAlign val="subscript"/>
        <sz val="12"/>
        <color theme="1"/>
        <rFont val="GE Inspira Book"/>
        <family val="2"/>
      </rPr>
      <t>50</t>
    </r>
    <r>
      <rPr>
        <sz val="12"/>
        <color theme="1"/>
        <rFont val="GE Inspira Book"/>
        <family val="2"/>
      </rPr>
      <t>)</t>
    </r>
  </si>
  <si>
    <t>σsqrt(2)</t>
  </si>
  <si>
    <r>
      <t>Active generator, λ</t>
    </r>
    <r>
      <rPr>
        <vertAlign val="subscript"/>
        <sz val="12"/>
        <color theme="1"/>
        <rFont val="GE Inspira Serif"/>
        <family val="1"/>
      </rPr>
      <t xml:space="preserve">a </t>
    </r>
    <r>
      <rPr>
        <sz val="12"/>
        <color theme="1"/>
        <rFont val="GE Inspira Serif"/>
        <family val="1"/>
      </rPr>
      <t>(failures / hour)</t>
    </r>
  </si>
  <si>
    <r>
      <t>Standby generator, λ</t>
    </r>
    <r>
      <rPr>
        <vertAlign val="subscript"/>
        <sz val="12"/>
        <color theme="1"/>
        <rFont val="GE Inspira Serif"/>
        <family val="1"/>
      </rPr>
      <t xml:space="preserve">b </t>
    </r>
    <r>
      <rPr>
        <sz val="12"/>
        <color theme="1"/>
        <rFont val="GE Inspira Serif"/>
        <family val="1"/>
      </rPr>
      <t>(failures / hour)</t>
    </r>
  </si>
  <si>
    <r>
      <t>Active generator, MTBF</t>
    </r>
    <r>
      <rPr>
        <vertAlign val="subscript"/>
        <sz val="12"/>
        <color theme="1"/>
        <rFont val="GE Inspira Serif"/>
        <family val="1"/>
      </rPr>
      <t>a</t>
    </r>
  </si>
  <si>
    <r>
      <t>Standby generator, MTBF</t>
    </r>
    <r>
      <rPr>
        <vertAlign val="subscript"/>
        <sz val="12"/>
        <color theme="1"/>
        <rFont val="GE Inspira Serif"/>
        <family val="1"/>
      </rPr>
      <t>b</t>
    </r>
  </si>
  <si>
    <r>
      <t>R</t>
    </r>
    <r>
      <rPr>
        <vertAlign val="subscript"/>
        <sz val="12"/>
        <color theme="1"/>
        <rFont val="GE Inspira Serif"/>
        <family val="1"/>
      </rPr>
      <t xml:space="preserve">system </t>
    </r>
    <r>
      <rPr>
        <sz val="12"/>
        <color theme="1"/>
        <rFont val="GE Inspira Serif"/>
        <family val="1"/>
      </rPr>
      <t>(8,760)</t>
    </r>
  </si>
  <si>
    <r>
      <t xml:space="preserve">PSM </t>
    </r>
    <r>
      <rPr>
        <vertAlign val="subscript"/>
        <sz val="12"/>
        <color theme="1"/>
        <rFont val="GE Inspira Serif"/>
        <family val="1"/>
      </rPr>
      <t>1</t>
    </r>
  </si>
  <si>
    <r>
      <t>n</t>
    </r>
    <r>
      <rPr>
        <vertAlign val="subscript"/>
        <sz val="10"/>
        <color theme="1"/>
        <rFont val="GE Inspira Medium"/>
        <family val="2"/>
      </rPr>
      <t xml:space="preserve">1 </t>
    </r>
    <r>
      <rPr>
        <sz val="10"/>
        <color theme="1"/>
        <rFont val="GE Inspira Medium"/>
        <family val="2"/>
      </rPr>
      <t>(cycles per minute)</t>
    </r>
  </si>
  <si>
    <r>
      <t>n</t>
    </r>
    <r>
      <rPr>
        <vertAlign val="subscript"/>
        <sz val="10"/>
        <color theme="1"/>
        <rFont val="GE Inspira Medium"/>
        <family val="2"/>
      </rPr>
      <t xml:space="preserve">2 </t>
    </r>
    <r>
      <rPr>
        <sz val="10"/>
        <color theme="1"/>
        <rFont val="GE Inspira Medium"/>
        <family val="2"/>
      </rPr>
      <t>(cycles per minute)</t>
    </r>
  </si>
  <si>
    <r>
      <t>n</t>
    </r>
    <r>
      <rPr>
        <vertAlign val="subscript"/>
        <sz val="10"/>
        <color theme="1"/>
        <rFont val="GE Inspira Medium"/>
        <family val="2"/>
      </rPr>
      <t>1</t>
    </r>
    <r>
      <rPr>
        <sz val="10"/>
        <color theme="1"/>
        <rFont val="GE Inspira Medium"/>
        <family val="2"/>
      </rPr>
      <t xml:space="preserve"> + n</t>
    </r>
    <r>
      <rPr>
        <vertAlign val="subscript"/>
        <sz val="10"/>
        <color theme="1"/>
        <rFont val="GE Inspira Medium"/>
        <family val="2"/>
      </rPr>
      <t>2</t>
    </r>
    <r>
      <rPr>
        <sz val="10"/>
        <color theme="1"/>
        <rFont val="GE Inspira Medium"/>
        <family val="2"/>
      </rPr>
      <t xml:space="preserve"> (cycles per minute)</t>
    </r>
  </si>
  <si>
    <t>Damage</t>
  </si>
  <si>
    <t>per minute</t>
  </si>
  <si>
    <t>per hour</t>
  </si>
  <si>
    <t>Failure occurs when damage</t>
  </si>
  <si>
    <t>Damage =1 = @ N hours for failure x 0.00294 amount of damage per hour</t>
  </si>
  <si>
    <t>N hours for failure</t>
  </si>
  <si>
    <t>Damage fraction</t>
  </si>
  <si>
    <t>Time (hours)</t>
  </si>
  <si>
    <t>η</t>
  </si>
  <si>
    <t>β</t>
  </si>
  <si>
    <t>E(x)</t>
  </si>
  <si>
    <t>Problem:</t>
  </si>
  <si>
    <t>A pressure vessel is made up of aluminum alloy &amp; operates in two states at 20 cycles per minute.</t>
  </si>
  <si>
    <t>It operates in the first state at 60% of the time @ stress change of 1,500 psi; the cycles to failure in this state are 1,000,000 cycles</t>
  </si>
  <si>
    <t>In the second state (40% of the time), a stress change of 2,400 psi is exerted on the vessel, &amp; the cycles to failure in this state are 215,000.</t>
  </si>
  <si>
    <t>Find the expected life in hours of this hydraulic pressure unit</t>
  </si>
  <si>
    <t>Expected life in hours of hydraulic pressure unit?</t>
  </si>
  <si>
    <t>Aluminum alloy has the following fatigue characteristics</t>
  </si>
  <si>
    <t xml:space="preserve">Stress 1, N </t>
  </si>
  <si>
    <t>Cycles</t>
  </si>
  <si>
    <t xml:space="preserve">Stress 2, N </t>
  </si>
  <si>
    <t xml:space="preserve">Stress 3, N </t>
  </si>
  <si>
    <t>How many times can the following sequence be repeated?</t>
  </si>
  <si>
    <t>n1</t>
  </si>
  <si>
    <t>cycles @ stress 1</t>
  </si>
  <si>
    <t>n2</t>
  </si>
  <si>
    <t>cycles @ stress 2</t>
  </si>
  <si>
    <t>n3</t>
  </si>
  <si>
    <t>cycles @ stress 3</t>
  </si>
  <si>
    <t>Solution:</t>
  </si>
  <si>
    <t>The fraction of life exhausted in each block are:</t>
  </si>
  <si>
    <t>Stress 1</t>
  </si>
  <si>
    <t>Stress 2</t>
  </si>
  <si>
    <t>Stress 3</t>
  </si>
  <si>
    <t>Damage total</t>
  </si>
  <si>
    <t>per cycle</t>
  </si>
  <si>
    <t>Damage =1 = @ N cycles for failure x 0.345 amount of damage per cycle</t>
  </si>
  <si>
    <t>N cycles to failure</t>
  </si>
  <si>
    <t>SS</t>
  </si>
  <si>
    <t>Time (Year)</t>
  </si>
  <si>
    <t># Fails</t>
  </si>
  <si>
    <t>EFR sample size</t>
  </si>
  <si>
    <t>IFR sample size</t>
  </si>
  <si>
    <t>EFR failure sample</t>
  </si>
  <si>
    <t>IFR failure sample</t>
  </si>
  <si>
    <t>Wear out sample size</t>
  </si>
  <si>
    <t xml:space="preserve">Wear out sample </t>
  </si>
  <si>
    <t>i</t>
  </si>
  <si>
    <t>Since m &gt; 1 rate of increase of PSA is very strong</t>
  </si>
  <si>
    <r>
      <t>(PSA)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 xml:space="preserve"> - PSA/ PSA</t>
    </r>
    <r>
      <rPr>
        <vertAlign val="subscript"/>
        <sz val="10"/>
        <color rgb="FF0000FF"/>
        <rFont val="Arial"/>
        <family val="2"/>
      </rPr>
      <t>O</t>
    </r>
  </si>
  <si>
    <r>
      <t>ln[(T</t>
    </r>
    <r>
      <rPr>
        <vertAlign val="subscript"/>
        <sz val="10"/>
        <color rgb="FF0000FF"/>
        <rFont val="Arial"/>
        <family val="2"/>
      </rPr>
      <t>ox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 xml:space="preserve"> - T</t>
    </r>
    <r>
      <rPr>
        <vertAlign val="subscript"/>
        <sz val="10"/>
        <color rgb="FF0000FF"/>
        <rFont val="Arial"/>
        <family val="2"/>
      </rPr>
      <t>ox</t>
    </r>
    <r>
      <rPr>
        <sz val="10"/>
        <color rgb="FF0000FF"/>
        <rFont val="Arial"/>
        <family val="2"/>
      </rPr>
      <t xml:space="preserve"> 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 xml:space="preserve"> / (T</t>
    </r>
    <r>
      <rPr>
        <vertAlign val="subscript"/>
        <sz val="10"/>
        <color rgb="FF0000FF"/>
        <rFont val="Arial"/>
        <family val="2"/>
      </rPr>
      <t>ox</t>
    </r>
    <r>
      <rPr>
        <sz val="10"/>
        <color rgb="FF0000FF"/>
        <rFont val="Arial"/>
        <family val="2"/>
      </rPr>
      <t xml:space="preserve"> 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>]</t>
    </r>
  </si>
  <si>
    <r>
      <t>PSA=(PSA)o[1 + Ao(t)</t>
    </r>
    <r>
      <rPr>
        <vertAlign val="superscript"/>
        <sz val="10"/>
        <color rgb="FF0000FF"/>
        <rFont val="Arial"/>
        <family val="2"/>
      </rPr>
      <t>m</t>
    </r>
    <r>
      <rPr>
        <sz val="10"/>
        <color rgb="FF0000FF"/>
        <rFont val="Arial"/>
        <family val="2"/>
      </rPr>
      <t>]</t>
    </r>
  </si>
  <si>
    <r>
      <t>PSA=1[1 + 0.1/(yr)</t>
    </r>
    <r>
      <rPr>
        <vertAlign val="subscript"/>
        <sz val="10"/>
        <color rgb="FF0000FF"/>
        <rFont val="Arial"/>
        <family val="2"/>
      </rPr>
      <t>2</t>
    </r>
    <r>
      <rPr>
        <sz val="10"/>
        <color rgb="FF0000FF"/>
        <rFont val="Arial"/>
        <family val="2"/>
      </rPr>
      <t xml:space="preserve"> x t</t>
    </r>
    <r>
      <rPr>
        <vertAlign val="superscript"/>
        <sz val="10"/>
        <color rgb="FF0000FF"/>
        <rFont val="Arial"/>
        <family val="2"/>
      </rPr>
      <t xml:space="preserve"> 2</t>
    </r>
    <r>
      <rPr>
        <sz val="10"/>
        <color rgb="FF0000FF"/>
        <rFont val="Arial"/>
        <family val="2"/>
      </rPr>
      <t>]]</t>
    </r>
  </si>
  <si>
    <r>
      <rPr>
        <sz val="10"/>
        <color rgb="FF0000FF"/>
        <rFont val="Arial"/>
        <family val="2"/>
      </rPr>
      <t>T</t>
    </r>
    <r>
      <rPr>
        <vertAlign val="subscript"/>
        <sz val="10"/>
        <color rgb="FF0000FF"/>
        <rFont val="Arial"/>
        <family val="2"/>
      </rPr>
      <t xml:space="preserve"> ox threshold </t>
    </r>
    <r>
      <rPr>
        <sz val="10"/>
        <color rgb="FF0000FF"/>
        <rFont val="Arial"/>
        <family val="2"/>
      </rPr>
      <t>(µ</t>
    </r>
    <r>
      <rPr>
        <vertAlign val="subscript"/>
        <sz val="10"/>
        <color rgb="FF0000FF"/>
        <rFont val="Arial"/>
        <family val="2"/>
      </rPr>
      <t>m)</t>
    </r>
  </si>
  <si>
    <t>Since m &gt; 1 than degradation rate is INCREASING with time</t>
  </si>
  <si>
    <r>
      <t>(R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 xml:space="preserve"> - 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 xml:space="preserve"> / (R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</si>
  <si>
    <r>
      <t>ln[(R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 xml:space="preserve"> - 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 xml:space="preserve"> / (R</t>
    </r>
    <r>
      <rPr>
        <vertAlign val="subscript"/>
        <sz val="10"/>
        <color rgb="FF0000FF"/>
        <rFont val="Arial"/>
        <family val="2"/>
      </rPr>
      <t>th</t>
    </r>
    <r>
      <rPr>
        <sz val="10"/>
        <color rgb="FF0000FF"/>
        <rFont val="Arial"/>
        <family val="2"/>
      </rPr>
      <t>)</t>
    </r>
    <r>
      <rPr>
        <vertAlign val="subscript"/>
        <sz val="10"/>
        <color rgb="FF0000FF"/>
        <rFont val="Arial"/>
        <family val="2"/>
      </rPr>
      <t>O</t>
    </r>
    <r>
      <rPr>
        <sz val="10"/>
        <color rgb="FF0000FF"/>
        <rFont val="Arial"/>
        <family val="2"/>
      </rPr>
      <t>]</t>
    </r>
  </si>
  <si>
    <r>
      <t>Rth=(Rth)o[1 + Ao(t)</t>
    </r>
    <r>
      <rPr>
        <vertAlign val="superscript"/>
        <sz val="10"/>
        <color rgb="FF0000FF"/>
        <rFont val="Arial"/>
        <family val="2"/>
      </rPr>
      <t>m</t>
    </r>
    <r>
      <rPr>
        <sz val="10"/>
        <color rgb="FF0000FF"/>
        <rFont val="Arial"/>
        <family val="2"/>
      </rPr>
      <t>]</t>
    </r>
  </si>
  <si>
    <r>
      <t>Rth=10[1 + 0.002/(hr)</t>
    </r>
    <r>
      <rPr>
        <vertAlign val="superscript"/>
        <sz val="10"/>
        <color rgb="FF0000FF"/>
        <rFont val="Arial"/>
        <family val="2"/>
      </rPr>
      <t>1.5</t>
    </r>
    <r>
      <rPr>
        <sz val="10"/>
        <color rgb="FF0000FF"/>
        <rFont val="Arial"/>
        <family val="2"/>
      </rPr>
      <t xml:space="preserve"> x t</t>
    </r>
    <r>
      <rPr>
        <vertAlign val="superscript"/>
        <sz val="10"/>
        <color rgb="FF0000FF"/>
        <rFont val="Arial"/>
        <family val="2"/>
      </rPr>
      <t xml:space="preserve"> 1.5</t>
    </r>
    <r>
      <rPr>
        <sz val="10"/>
        <color rgb="FF0000FF"/>
        <rFont val="Arial"/>
        <family val="2"/>
      </rPr>
      <t>]]</t>
    </r>
  </si>
  <si>
    <r>
      <rPr>
        <sz val="10"/>
        <color rgb="FF0000FF"/>
        <rFont val="Arial"/>
        <family val="2"/>
      </rPr>
      <t>R</t>
    </r>
    <r>
      <rPr>
        <vertAlign val="subscript"/>
        <sz val="10"/>
        <color rgb="FF0000FF"/>
        <rFont val="Arial"/>
        <family val="2"/>
      </rPr>
      <t>threshold</t>
    </r>
  </si>
  <si>
    <t>A 16 pin plastic DIP is located on a board cooled by air at a velocity of 1.5 m/s.</t>
  </si>
  <si>
    <r>
      <t>The board inlet air temperature is 40</t>
    </r>
    <r>
      <rPr>
        <sz val="12"/>
        <color theme="1"/>
        <rFont val="Arial"/>
        <family val="2"/>
      </rPr>
      <t>°</t>
    </r>
    <r>
      <rPr>
        <sz val="12"/>
        <color theme="1"/>
        <rFont val="Cambria"/>
        <family val="1"/>
      </rPr>
      <t xml:space="preserve">C, while the air preheat temperature due to </t>
    </r>
  </si>
  <si>
    <r>
      <t>heat dissipated by the components upstream of the DIP is 15</t>
    </r>
    <r>
      <rPr>
        <sz val="12"/>
        <color theme="1"/>
        <rFont val="Arial"/>
        <family val="2"/>
      </rPr>
      <t>°</t>
    </r>
    <r>
      <rPr>
        <sz val="12"/>
        <color theme="1"/>
        <rFont val="Cambria"/>
        <family val="1"/>
      </rPr>
      <t xml:space="preserve">C. </t>
    </r>
  </si>
  <si>
    <t xml:space="preserve">Assuming that the power dissipation by the DIP is 1 watt, calculate the </t>
  </si>
  <si>
    <t xml:space="preserve">junction temperature (Tj) of the chip. For package junction-to-air thermal </t>
  </si>
  <si>
    <t xml:space="preserve">resistance, use the chart shown in Fig 17.8. </t>
  </si>
  <si>
    <t xml:space="preserve">From the chart in Fig. 17.8, at air velocity of 1.5 m/s </t>
  </si>
  <si>
    <r>
      <t>R</t>
    </r>
    <r>
      <rPr>
        <vertAlign val="subscript"/>
        <sz val="12"/>
        <color theme="1"/>
        <rFont val="Cambria"/>
        <family val="1"/>
      </rPr>
      <t>ja</t>
    </r>
    <r>
      <rPr>
        <sz val="12"/>
        <color theme="1"/>
        <rFont val="Cambria"/>
        <family val="1"/>
      </rPr>
      <t xml:space="preserve"> = </t>
    </r>
  </si>
  <si>
    <r>
      <rPr>
        <sz val="12"/>
        <color theme="1"/>
        <rFont val="Arial"/>
        <family val="2"/>
      </rPr>
      <t>°</t>
    </r>
    <r>
      <rPr>
        <sz val="12"/>
        <color theme="1"/>
        <rFont val="Cambria"/>
        <family val="1"/>
      </rPr>
      <t xml:space="preserve"> C/W</t>
    </r>
  </si>
  <si>
    <r>
      <t>T</t>
    </r>
    <r>
      <rPr>
        <vertAlign val="subscript"/>
        <sz val="12"/>
        <color theme="1"/>
        <rFont val="Cambria"/>
        <family val="1"/>
      </rPr>
      <t>i</t>
    </r>
    <r>
      <rPr>
        <sz val="12"/>
        <color theme="1"/>
        <rFont val="Cambria"/>
        <family val="1"/>
      </rPr>
      <t xml:space="preserve"> =</t>
    </r>
  </si>
  <si>
    <t>°C</t>
  </si>
  <si>
    <r>
      <t>T</t>
    </r>
    <r>
      <rPr>
        <vertAlign val="subscript"/>
        <sz val="12"/>
        <color theme="1"/>
        <rFont val="Cambria"/>
        <family val="1"/>
      </rPr>
      <t>p</t>
    </r>
    <r>
      <rPr>
        <sz val="12"/>
        <color theme="1"/>
        <rFont val="Cambria"/>
        <family val="1"/>
      </rPr>
      <t xml:space="preserve"> =</t>
    </r>
  </si>
  <si>
    <r>
      <t>T</t>
    </r>
    <r>
      <rPr>
        <vertAlign val="subscript"/>
        <sz val="12"/>
        <color theme="1"/>
        <rFont val="Cambria"/>
        <family val="1"/>
      </rPr>
      <t>a</t>
    </r>
    <r>
      <rPr>
        <sz val="12"/>
        <color theme="1"/>
        <rFont val="Cambria"/>
        <family val="1"/>
      </rPr>
      <t>=</t>
    </r>
  </si>
  <si>
    <r>
      <t>T</t>
    </r>
    <r>
      <rPr>
        <vertAlign val="subscript"/>
        <sz val="12"/>
        <color theme="1"/>
        <rFont val="Cambria"/>
        <family val="1"/>
      </rPr>
      <t>j</t>
    </r>
    <r>
      <rPr>
        <sz val="12"/>
        <color theme="1"/>
        <rFont val="Cambria"/>
        <family val="1"/>
      </rPr>
      <t>=</t>
    </r>
  </si>
  <si>
    <r>
      <t>T</t>
    </r>
    <r>
      <rPr>
        <vertAlign val="subscript"/>
        <sz val="12"/>
        <color theme="1"/>
        <rFont val="Cambria"/>
        <family val="1"/>
      </rPr>
      <t>a</t>
    </r>
    <r>
      <rPr>
        <sz val="12"/>
        <color theme="1"/>
        <rFont val="Cambria"/>
        <family val="1"/>
      </rPr>
      <t xml:space="preserve"> + R</t>
    </r>
    <r>
      <rPr>
        <vertAlign val="subscript"/>
        <sz val="12"/>
        <color theme="1"/>
        <rFont val="Cambria"/>
        <family val="1"/>
      </rPr>
      <t>ja</t>
    </r>
    <r>
      <rPr>
        <sz val="12"/>
        <color theme="1"/>
        <rFont val="Cambria"/>
        <family val="1"/>
      </rPr>
      <t>*P</t>
    </r>
  </si>
  <si>
    <t>P=</t>
  </si>
  <si>
    <t>W</t>
  </si>
  <si>
    <r>
      <t>The calculated junction temperature of 175</t>
    </r>
    <r>
      <rPr>
        <sz val="12"/>
        <color theme="1"/>
        <rFont val="Arial"/>
        <family val="2"/>
      </rPr>
      <t>°</t>
    </r>
    <r>
      <rPr>
        <sz val="12"/>
        <color theme="1"/>
        <rFont val="Cambria"/>
        <family val="1"/>
      </rPr>
      <t>C is much higher than the general acceptable 100</t>
    </r>
    <r>
      <rPr>
        <sz val="12"/>
        <color theme="1"/>
        <rFont val="Arial"/>
        <family val="2"/>
      </rPr>
      <t>°</t>
    </r>
    <r>
      <rPr>
        <sz val="12"/>
        <color theme="1"/>
        <rFont val="Cambria"/>
        <family val="1"/>
      </rPr>
      <t>C</t>
    </r>
  </si>
  <si>
    <t>(a) Reduce power dissipation from the package</t>
  </si>
  <si>
    <t>(b) Use better package with lower thermal resistance</t>
  </si>
  <si>
    <t>© Improve packaging environment by lowering air temperature and /or increasing air velocity</t>
  </si>
  <si>
    <t>(d) Use heat sink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</si>
</sst>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E+00"/>
    <numFmt numFmtId="165" formatCode="0.E+00"/>
    <numFmt numFmtId="166" formatCode="0.0"/>
    <numFmt numFmtId="167" formatCode="0.000"/>
    <numFmt numFmtId="168" formatCode="0.00000"/>
    <numFmt numFmtId="169" formatCode="0.000E+00"/>
    <numFmt numFmtId="170" formatCode="0.0000"/>
  </numFmts>
  <fonts count="50">
    <font>
      <sz val="12"/>
      <color theme="1"/>
      <name val="GE Inspira Medium"/>
      <family val="2"/>
    </font>
    <font>
      <sz val="12"/>
      <color theme="1"/>
      <name val="Arial"/>
      <family val="2"/>
    </font>
    <font>
      <sz val="12"/>
      <color rgb="FF0000FF"/>
      <name val="GE Inspira Serif"/>
      <family val="1"/>
    </font>
    <font>
      <vertAlign val="subscript"/>
      <sz val="12"/>
      <color rgb="FF0000FF"/>
      <name val="GE Inspira Serif"/>
      <family val="1"/>
    </font>
    <font>
      <vertAlign val="superscript"/>
      <sz val="12"/>
      <color rgb="FF0000FF"/>
      <name val="GE Inspira Serif"/>
      <family val="1"/>
    </font>
    <font>
      <sz val="12"/>
      <color rgb="FF0000FF"/>
      <name val="Garamond"/>
      <family val="1"/>
    </font>
    <font>
      <b/>
      <i/>
      <sz val="12"/>
      <color rgb="FF0000FF"/>
      <name val="GE Inspira Serif"/>
      <family val="1"/>
    </font>
    <font>
      <vertAlign val="subscript"/>
      <sz val="12"/>
      <color rgb="FF0000FF"/>
      <name val="Calibri Light"/>
      <family val="2"/>
    </font>
    <font>
      <sz val="12"/>
      <color rgb="FF0000FF"/>
      <name val="Calibri Light"/>
      <family val="2"/>
    </font>
    <font>
      <b/>
      <sz val="12"/>
      <color rgb="FFFA7D00"/>
      <name val="GE Inspira Pitch"/>
      <family val="2"/>
    </font>
    <font>
      <b/>
      <i/>
      <sz val="12"/>
      <color rgb="FF0000FF"/>
      <name val="GE Inspira Book"/>
      <family val="2"/>
    </font>
    <font>
      <sz val="12"/>
      <color rgb="FF0000FF"/>
      <name val="GE Inspira Book"/>
      <family val="2"/>
    </font>
    <font>
      <vertAlign val="subscript"/>
      <sz val="12"/>
      <color rgb="FF0000FF"/>
      <name val="GE Inspira Book"/>
      <family val="2"/>
    </font>
    <font>
      <vertAlign val="superscript"/>
      <sz val="12"/>
      <color rgb="FF0000FF"/>
      <name val="GE Inspira Book"/>
      <family val="2"/>
    </font>
    <font>
      <sz val="12"/>
      <color theme="1"/>
      <name val="GE Inspira Book"/>
      <family val="2"/>
    </font>
    <font>
      <vertAlign val="subscript"/>
      <sz val="12"/>
      <color theme="1"/>
      <name val="GE Inspira Book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GE Inspira Book"/>
      <family val="2"/>
    </font>
    <font>
      <sz val="14"/>
      <color theme="1"/>
      <name val="GE Inspira"/>
      <family val="2"/>
    </font>
    <font>
      <sz val="12"/>
      <color theme="1"/>
      <name val="Franklin Gothic Book"/>
      <family val="2"/>
    </font>
    <font>
      <sz val="12"/>
      <color theme="1"/>
      <name val="Franklin Gothic Medium"/>
      <family val="2"/>
    </font>
    <font>
      <vertAlign val="subscript"/>
      <sz val="12"/>
      <color theme="1"/>
      <name val="Franklin Gothic Medium"/>
      <family val="2"/>
    </font>
    <font>
      <b/>
      <sz val="12"/>
      <name val="Franklin Gothic Medium"/>
      <family val="2"/>
    </font>
    <font>
      <b/>
      <sz val="12"/>
      <color rgb="FF0000FF"/>
      <name val="Franklin Gothic Medium"/>
      <family val="2"/>
    </font>
    <font>
      <b/>
      <u/>
      <sz val="12"/>
      <color rgb="FF0000FF"/>
      <name val="Franklin Gothic Medium"/>
      <family val="2"/>
    </font>
    <font>
      <b/>
      <sz val="12"/>
      <color rgb="FF7030A0"/>
      <name val="Franklin Gothic Book"/>
      <family val="2"/>
    </font>
    <font>
      <sz val="10"/>
      <name val="GE Inspira Book"/>
      <family val="2"/>
    </font>
    <font>
      <b/>
      <sz val="10"/>
      <color rgb="FF000000"/>
      <name val="GE Inspira Book"/>
      <family val="2"/>
    </font>
    <font>
      <sz val="12"/>
      <color theme="1"/>
      <name val="Cambria Math"/>
      <family val="1"/>
    </font>
    <font>
      <sz val="12"/>
      <color theme="1"/>
      <name val="GE Inspira Serif"/>
      <family val="1"/>
    </font>
    <font>
      <vertAlign val="subscript"/>
      <sz val="12"/>
      <color theme="1"/>
      <name val="GE Inspira Serif"/>
      <family val="1"/>
    </font>
    <font>
      <sz val="10"/>
      <color theme="1"/>
      <name val="GE Inspira Medium"/>
      <family val="2"/>
    </font>
    <font>
      <vertAlign val="subscript"/>
      <sz val="10"/>
      <color theme="1"/>
      <name val="GE Inspira Medium"/>
      <family val="2"/>
    </font>
    <font>
      <b/>
      <sz val="10"/>
      <color theme="1"/>
      <name val="GE Inspira Medium"/>
      <family val="2"/>
    </font>
    <font>
      <sz val="10"/>
      <color theme="1"/>
      <name val="GE Inspira Pitch"/>
      <family val="2"/>
    </font>
    <font>
      <u/>
      <sz val="10"/>
      <color theme="1"/>
      <name val="GE Inspira Medium"/>
      <family val="2"/>
    </font>
    <font>
      <sz val="9"/>
      <color indexed="81"/>
      <name val="Tahoma"/>
      <family val="2"/>
    </font>
    <font>
      <sz val="10"/>
      <color indexed="81"/>
      <name val="GE Inspira Book"/>
      <family val="2"/>
    </font>
    <font>
      <b/>
      <u/>
      <sz val="10"/>
      <color rgb="FF0000FF"/>
      <name val="GE Inspira Book"/>
      <family val="2"/>
    </font>
    <font>
      <sz val="10"/>
      <color rgb="FF0000FF"/>
      <name val="GE Inspira Book"/>
      <family val="2"/>
    </font>
    <font>
      <b/>
      <sz val="10"/>
      <color rgb="FF0000FF"/>
      <name val="GE Inspira Book"/>
      <family val="2"/>
    </font>
    <font>
      <b/>
      <i/>
      <sz val="10"/>
      <color rgb="FF0000FF"/>
      <name val="Arial"/>
      <family val="2"/>
    </font>
    <font>
      <sz val="10"/>
      <color rgb="FF0000FF"/>
      <name val="Arial"/>
      <family val="2"/>
    </font>
    <font>
      <vertAlign val="subscript"/>
      <sz val="10"/>
      <color rgb="FF0000FF"/>
      <name val="Arial"/>
      <family val="2"/>
    </font>
    <font>
      <vertAlign val="superscript"/>
      <sz val="10"/>
      <color rgb="FF0000FF"/>
      <name val="Arial"/>
      <family val="2"/>
    </font>
    <font>
      <sz val="12"/>
      <color theme="1"/>
      <name val="Cambria"/>
      <family val="1"/>
    </font>
    <font>
      <b/>
      <u/>
      <sz val="12"/>
      <color theme="1"/>
      <name val="Cambria"/>
      <family val="1"/>
    </font>
    <font>
      <vertAlign val="subscript"/>
      <sz val="12"/>
      <color theme="1"/>
      <name val="Cambria"/>
      <family val="1"/>
    </font>
    <font>
      <sz val="12"/>
      <color theme="1"/>
      <name val="Cambria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3E3E3"/>
      </patternFill>
    </fill>
    <fill>
      <patternFill patternType="solid">
        <fgColor rgb="FF00CCFF"/>
        <bgColor indexed="64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9" fillId="2" borderId="9" applyNumberFormat="0" applyAlignment="0" applyProtection="0"/>
    <xf numFmtId="0" fontId="16" fillId="0" borderId="0"/>
    <xf numFmtId="0" fontId="17" fillId="0" borderId="0"/>
    <xf numFmtId="0" fontId="16" fillId="0" borderId="0"/>
    <xf numFmtId="0" fontId="16" fillId="0" borderId="0"/>
  </cellStyleXfs>
  <cellXfs count="160">
    <xf numFmtId="0" fontId="0" fillId="0" borderId="0" xfId="0"/>
    <xf numFmtId="0" fontId="2" fillId="0" borderId="1" xfId="0" applyFont="1" applyBorder="1" applyAlignment="1">
      <alignment horizontal="center" vertical="top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 wrapText="1"/>
    </xf>
    <xf numFmtId="2" fontId="2" fillId="0" borderId="0" xfId="0" applyNumberFormat="1" applyFont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6" fillId="0" borderId="0" xfId="0" applyFont="1"/>
    <xf numFmtId="164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2" fillId="0" borderId="4" xfId="0" applyNumberFormat="1" applyFont="1" applyBorder="1"/>
    <xf numFmtId="165" fontId="2" fillId="0" borderId="4" xfId="0" applyNumberFormat="1" applyFont="1" applyBorder="1"/>
    <xf numFmtId="166" fontId="2" fillId="0" borderId="0" xfId="0" applyNumberFormat="1" applyFont="1" applyAlignment="1">
      <alignment horizontal="center" vertical="center"/>
    </xf>
    <xf numFmtId="0" fontId="3" fillId="0" borderId="7" xfId="0" applyFont="1" applyBorder="1"/>
    <xf numFmtId="0" fontId="10" fillId="0" borderId="0" xfId="0" applyFont="1"/>
    <xf numFmtId="0" fontId="11" fillId="0" borderId="0" xfId="0" applyFont="1"/>
    <xf numFmtId="0" fontId="11" fillId="0" borderId="1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2" fontId="11" fillId="0" borderId="0" xfId="0" applyNumberFormat="1" applyFont="1" applyAlignment="1">
      <alignment horizontal="center" vertical="center" wrapText="1"/>
    </xf>
    <xf numFmtId="0" fontId="12" fillId="0" borderId="0" xfId="0" applyFont="1"/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65" fontId="11" fillId="0" borderId="11" xfId="0" applyNumberFormat="1" applyFont="1" applyBorder="1" applyAlignment="1">
      <alignment horizontal="center" vertical="center"/>
    </xf>
    <xf numFmtId="170" fontId="11" fillId="0" borderId="13" xfId="0" applyNumberFormat="1" applyFont="1" applyBorder="1"/>
    <xf numFmtId="170" fontId="11" fillId="0" borderId="11" xfId="0" applyNumberFormat="1" applyFont="1" applyBorder="1"/>
    <xf numFmtId="165" fontId="11" fillId="0" borderId="0" xfId="0" applyNumberFormat="1" applyFont="1"/>
    <xf numFmtId="0" fontId="11" fillId="0" borderId="8" xfId="0" applyFont="1" applyBorder="1" applyAlignment="1">
      <alignment horizontal="center" vertical="center"/>
    </xf>
    <xf numFmtId="0" fontId="14" fillId="0" borderId="0" xfId="0" applyFont="1"/>
    <xf numFmtId="0" fontId="18" fillId="5" borderId="12" xfId="2" applyFont="1" applyFill="1" applyBorder="1" applyAlignment="1">
      <alignment horizontal="center" vertical="center" wrapText="1"/>
    </xf>
    <xf numFmtId="0" fontId="19" fillId="4" borderId="11" xfId="2" applyFont="1" applyFill="1" applyBorder="1" applyAlignment="1">
      <alignment horizontal="center" vertical="center" wrapText="1"/>
    </xf>
    <xf numFmtId="16" fontId="19" fillId="0" borderId="13" xfId="2" applyNumberFormat="1" applyFont="1" applyBorder="1" applyAlignment="1">
      <alignment horizontal="center" vertical="center" wrapText="1"/>
    </xf>
    <xf numFmtId="0" fontId="20" fillId="0" borderId="0" xfId="0" applyFont="1"/>
    <xf numFmtId="0" fontId="21" fillId="0" borderId="0" xfId="0" applyFont="1"/>
    <xf numFmtId="0" fontId="21" fillId="0" borderId="1" xfId="0" applyFont="1" applyBorder="1" applyAlignment="1">
      <alignment horizontal="center" vertical="center" wrapText="1"/>
    </xf>
    <xf numFmtId="3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23" fillId="2" borderId="10" xfId="1" applyNumberFormat="1" applyFont="1" applyBorder="1" applyAlignment="1">
      <alignment horizontal="center" vertical="center"/>
    </xf>
    <xf numFmtId="0" fontId="24" fillId="0" borderId="0" xfId="0" applyFont="1"/>
    <xf numFmtId="0" fontId="26" fillId="6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1" xfId="0" applyFont="1" applyBorder="1"/>
    <xf numFmtId="0" fontId="14" fillId="0" borderId="15" xfId="0" applyFont="1" applyBorder="1"/>
    <xf numFmtId="3" fontId="14" fillId="0" borderId="16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/>
    <xf numFmtId="0" fontId="14" fillId="0" borderId="0" xfId="0" applyFont="1" applyBorder="1" applyAlignment="1">
      <alignment horizontal="center" vertical="center"/>
    </xf>
    <xf numFmtId="0" fontId="14" fillId="0" borderId="19" xfId="0" applyFont="1" applyBorder="1"/>
    <xf numFmtId="0" fontId="14" fillId="0" borderId="21" xfId="0" applyFont="1" applyBorder="1"/>
    <xf numFmtId="0" fontId="27" fillId="7" borderId="22" xfId="0" applyFont="1" applyFill="1" applyBorder="1" applyAlignment="1">
      <alignment horizontal="center" vertical="center"/>
    </xf>
    <xf numFmtId="0" fontId="27" fillId="0" borderId="23" xfId="0" applyFont="1" applyBorder="1" applyAlignment="1">
      <alignment horizontal="center" vertical="center" wrapText="1"/>
    </xf>
    <xf numFmtId="0" fontId="27" fillId="0" borderId="23" xfId="0" applyFont="1" applyBorder="1" applyAlignment="1">
      <alignment horizontal="center" vertical="center"/>
    </xf>
    <xf numFmtId="14" fontId="27" fillId="0" borderId="23" xfId="0" applyNumberFormat="1" applyFont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14" fontId="14" fillId="0" borderId="19" xfId="0" applyNumberFormat="1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1" fontId="14" fillId="0" borderId="21" xfId="0" applyNumberFormat="1" applyFont="1" applyBorder="1" applyAlignment="1">
      <alignment horizontal="center" vertical="center"/>
    </xf>
    <xf numFmtId="0" fontId="14" fillId="0" borderId="0" xfId="0" applyFont="1" applyBorder="1"/>
    <xf numFmtId="3" fontId="14" fillId="0" borderId="26" xfId="0" applyNumberFormat="1" applyFont="1" applyBorder="1" applyAlignment="1">
      <alignment horizontal="center" vertical="center"/>
    </xf>
    <xf numFmtId="0" fontId="14" fillId="0" borderId="0" xfId="0" applyFont="1" applyAlignment="1">
      <alignment vertical="top"/>
    </xf>
    <xf numFmtId="0" fontId="14" fillId="0" borderId="20" xfId="0" applyFont="1" applyBorder="1" applyAlignment="1">
      <alignment vertical="top"/>
    </xf>
    <xf numFmtId="0" fontId="14" fillId="0" borderId="14" xfId="0" applyFont="1" applyBorder="1" applyAlignment="1">
      <alignment horizontal="center" vertical="top"/>
    </xf>
    <xf numFmtId="0" fontId="14" fillId="0" borderId="21" xfId="0" applyFont="1" applyBorder="1" applyAlignment="1">
      <alignment vertical="top"/>
    </xf>
    <xf numFmtId="0" fontId="29" fillId="0" borderId="0" xfId="0" applyFont="1" applyAlignment="1">
      <alignment vertical="top"/>
    </xf>
    <xf numFmtId="0" fontId="30" fillId="0" borderId="11" xfId="0" applyFont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3" fontId="30" fillId="0" borderId="11" xfId="0" applyNumberFormat="1" applyFont="1" applyBorder="1" applyAlignment="1">
      <alignment horizontal="center" vertical="center"/>
    </xf>
    <xf numFmtId="0" fontId="30" fillId="0" borderId="0" xfId="0" applyFont="1"/>
    <xf numFmtId="0" fontId="30" fillId="0" borderId="0" xfId="0" applyFont="1" applyAlignment="1">
      <alignment horizontal="center" vertical="center" wrapText="1"/>
    </xf>
    <xf numFmtId="169" fontId="30" fillId="0" borderId="0" xfId="0" applyNumberFormat="1" applyFont="1" applyAlignment="1">
      <alignment horizontal="center" vertical="center"/>
    </xf>
    <xf numFmtId="0" fontId="30" fillId="3" borderId="11" xfId="0" applyFont="1" applyFill="1" applyBorder="1" applyAlignment="1">
      <alignment horizontal="center" vertical="center" wrapText="1"/>
    </xf>
    <xf numFmtId="167" fontId="30" fillId="3" borderId="11" xfId="0" applyNumberFormat="1" applyFont="1" applyFill="1" applyBorder="1" applyAlignment="1">
      <alignment horizontal="center" vertical="center"/>
    </xf>
    <xf numFmtId="168" fontId="30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/>
    <xf numFmtId="0" fontId="32" fillId="0" borderId="8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left" vertical="top"/>
    </xf>
    <xf numFmtId="1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left" vertical="top" wrapText="1"/>
    </xf>
    <xf numFmtId="0" fontId="32" fillId="0" borderId="11" xfId="0" applyFont="1" applyBorder="1" applyAlignment="1">
      <alignment horizontal="center" vertical="center"/>
    </xf>
    <xf numFmtId="1" fontId="32" fillId="0" borderId="11" xfId="0" applyNumberFormat="1" applyFont="1" applyBorder="1" applyAlignment="1">
      <alignment horizontal="center" vertical="center"/>
    </xf>
    <xf numFmtId="0" fontId="34" fillId="3" borderId="11" xfId="0" applyFont="1" applyFill="1" applyBorder="1" applyAlignment="1">
      <alignment horizontal="center" vertical="center" wrapText="1"/>
    </xf>
    <xf numFmtId="0" fontId="35" fillId="0" borderId="11" xfId="0" applyFont="1" applyBorder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6" fillId="0" borderId="0" xfId="0" applyFont="1" applyAlignment="1">
      <alignment horizontal="left" vertical="top"/>
    </xf>
    <xf numFmtId="0" fontId="39" fillId="0" borderId="0" xfId="0" applyFont="1"/>
    <xf numFmtId="0" fontId="40" fillId="0" borderId="0" xfId="0" applyFont="1"/>
    <xf numFmtId="0" fontId="40" fillId="0" borderId="0" xfId="0" applyFont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167" fontId="40" fillId="0" borderId="0" xfId="0" applyNumberFormat="1" applyFont="1" applyAlignment="1">
      <alignment horizontal="center" vertical="center"/>
    </xf>
    <xf numFmtId="167" fontId="40" fillId="0" borderId="8" xfId="0" applyNumberFormat="1" applyFont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166" fontId="32" fillId="0" borderId="0" xfId="0" applyNumberFormat="1" applyFont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41" fillId="3" borderId="11" xfId="0" applyFont="1" applyFill="1" applyBorder="1" applyAlignment="1">
      <alignment horizontal="center" vertical="center" wrapText="1"/>
    </xf>
    <xf numFmtId="166" fontId="40" fillId="0" borderId="11" xfId="0" applyNumberFormat="1" applyFont="1" applyBorder="1" applyAlignment="1">
      <alignment horizontal="center" vertical="center"/>
    </xf>
    <xf numFmtId="1" fontId="40" fillId="0" borderId="11" xfId="0" applyNumberFormat="1" applyFont="1" applyBorder="1" applyAlignment="1">
      <alignment horizontal="center" vertical="center"/>
    </xf>
    <xf numFmtId="0" fontId="34" fillId="0" borderId="11" xfId="0" applyFont="1" applyBorder="1" applyAlignment="1">
      <alignment horizontal="center" wrapText="1"/>
    </xf>
    <xf numFmtId="3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 vertical="top" wrapText="1"/>
    </xf>
    <xf numFmtId="3" fontId="32" fillId="0" borderId="8" xfId="0" applyNumberFormat="1" applyFont="1" applyBorder="1" applyAlignment="1">
      <alignment horizontal="center"/>
    </xf>
    <xf numFmtId="170" fontId="32" fillId="0" borderId="11" xfId="0" applyNumberFormat="1" applyFont="1" applyBorder="1" applyAlignment="1">
      <alignment horizontal="center" vertical="center"/>
    </xf>
    <xf numFmtId="166" fontId="32" fillId="0" borderId="11" xfId="0" applyNumberFormat="1" applyFont="1" applyBorder="1" applyAlignment="1">
      <alignment horizontal="center" vertical="center"/>
    </xf>
    <xf numFmtId="0" fontId="42" fillId="0" borderId="0" xfId="0" applyFont="1"/>
    <xf numFmtId="0" fontId="43" fillId="0" borderId="0" xfId="0" applyFont="1"/>
    <xf numFmtId="0" fontId="43" fillId="0" borderId="1" xfId="0" applyFont="1" applyBorder="1" applyAlignment="1">
      <alignment horizontal="center" vertical="top" wrapText="1"/>
    </xf>
    <xf numFmtId="0" fontId="43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66" fontId="43" fillId="0" borderId="0" xfId="0" applyNumberFormat="1" applyFont="1" applyAlignment="1">
      <alignment horizontal="center" vertical="center"/>
    </xf>
    <xf numFmtId="0" fontId="43" fillId="0" borderId="2" xfId="0" applyFont="1" applyBorder="1"/>
    <xf numFmtId="0" fontId="43" fillId="0" borderId="3" xfId="0" applyFont="1" applyBorder="1"/>
    <xf numFmtId="165" fontId="43" fillId="0" borderId="4" xfId="0" applyNumberFormat="1" applyFont="1" applyBorder="1"/>
    <xf numFmtId="0" fontId="43" fillId="0" borderId="5" xfId="0" applyFont="1" applyBorder="1"/>
    <xf numFmtId="0" fontId="43" fillId="0" borderId="4" xfId="0" applyFont="1" applyBorder="1"/>
    <xf numFmtId="0" fontId="43" fillId="0" borderId="6" xfId="0" applyFont="1" applyBorder="1"/>
    <xf numFmtId="0" fontId="44" fillId="0" borderId="7" xfId="0" applyFont="1" applyBorder="1"/>
    <xf numFmtId="165" fontId="43" fillId="0" borderId="0" xfId="0" applyNumberFormat="1" applyFont="1" applyAlignment="1">
      <alignment horizontal="center" vertical="center"/>
    </xf>
    <xf numFmtId="0" fontId="46" fillId="0" borderId="0" xfId="0" applyFont="1"/>
    <xf numFmtId="0" fontId="47" fillId="8" borderId="15" xfId="0" applyFont="1" applyFill="1" applyBorder="1"/>
    <xf numFmtId="0" fontId="46" fillId="8" borderId="16" xfId="0" applyFont="1" applyFill="1" applyBorder="1"/>
    <xf numFmtId="0" fontId="46" fillId="8" borderId="17" xfId="0" applyFont="1" applyFill="1" applyBorder="1"/>
    <xf numFmtId="0" fontId="46" fillId="8" borderId="18" xfId="0" applyFont="1" applyFill="1" applyBorder="1"/>
    <xf numFmtId="0" fontId="46" fillId="8" borderId="0" xfId="0" applyFont="1" applyFill="1" applyBorder="1"/>
    <xf numFmtId="0" fontId="46" fillId="8" borderId="19" xfId="0" applyFont="1" applyFill="1" applyBorder="1"/>
    <xf numFmtId="0" fontId="46" fillId="8" borderId="20" xfId="0" applyFont="1" applyFill="1" applyBorder="1"/>
    <xf numFmtId="0" fontId="46" fillId="8" borderId="14" xfId="0" applyFont="1" applyFill="1" applyBorder="1"/>
    <xf numFmtId="0" fontId="46" fillId="8" borderId="21" xfId="0" applyFont="1" applyFill="1" applyBorder="1"/>
    <xf numFmtId="0" fontId="47" fillId="9" borderId="15" xfId="0" applyFont="1" applyFill="1" applyBorder="1"/>
    <xf numFmtId="0" fontId="46" fillId="9" borderId="16" xfId="0" applyFont="1" applyFill="1" applyBorder="1"/>
    <xf numFmtId="0" fontId="46" fillId="9" borderId="17" xfId="0" applyFont="1" applyFill="1" applyBorder="1"/>
    <xf numFmtId="0" fontId="46" fillId="9" borderId="18" xfId="0" applyFont="1" applyFill="1" applyBorder="1"/>
    <xf numFmtId="0" fontId="46" fillId="9" borderId="0" xfId="0" applyFont="1" applyFill="1" applyBorder="1"/>
    <xf numFmtId="0" fontId="46" fillId="9" borderId="19" xfId="0" applyFont="1" applyFill="1" applyBorder="1"/>
    <xf numFmtId="0" fontId="46" fillId="9" borderId="18" xfId="0" applyFont="1" applyFill="1" applyBorder="1" applyAlignment="1">
      <alignment horizontal="center" vertical="center"/>
    </xf>
    <xf numFmtId="0" fontId="46" fillId="9" borderId="0" xfId="0" applyFont="1" applyFill="1" applyBorder="1" applyAlignment="1">
      <alignment horizontal="center" vertical="center"/>
    </xf>
    <xf numFmtId="0" fontId="49" fillId="9" borderId="0" xfId="0" applyFont="1" applyFill="1" applyBorder="1" applyAlignment="1">
      <alignment horizontal="center" vertical="center"/>
    </xf>
    <xf numFmtId="0" fontId="46" fillId="9" borderId="18" xfId="0" applyFont="1" applyFill="1" applyBorder="1" applyAlignment="1">
      <alignment horizontal="center" vertical="center" wrapText="1"/>
    </xf>
    <xf numFmtId="0" fontId="46" fillId="9" borderId="0" xfId="0" applyFont="1" applyFill="1" applyBorder="1" applyAlignment="1">
      <alignment horizontal="center" vertical="center" wrapText="1"/>
    </xf>
    <xf numFmtId="0" fontId="46" fillId="9" borderId="20" xfId="0" applyFont="1" applyFill="1" applyBorder="1"/>
    <xf numFmtId="0" fontId="46" fillId="9" borderId="14" xfId="0" applyFont="1" applyFill="1" applyBorder="1"/>
    <xf numFmtId="0" fontId="46" fillId="9" borderId="21" xfId="0" applyFont="1" applyFill="1" applyBorder="1"/>
    <xf numFmtId="0" fontId="28" fillId="7" borderId="22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</cellXfs>
  <cellStyles count="6">
    <cellStyle name="Calculation" xfId="1" builtinId="22"/>
    <cellStyle name="Normal" xfId="0" builtinId="0"/>
    <cellStyle name="Normal 2" xfId="3" xr:uid="{00000000-0005-0000-0000-000002000000}"/>
    <cellStyle name="Normal 2 2" xfId="5" xr:uid="{00000000-0005-0000-0000-000003000000}"/>
    <cellStyle name="Normal 3" xfId="2" xr:uid="{00000000-0005-0000-0000-000004000000}"/>
    <cellStyle name="Normal 3 2" xfId="4" xr:uid="{00000000-0005-0000-0000-000005000000}"/>
  </cellStyles>
  <dxfs count="0"/>
  <tableStyles count="0" defaultTableStyle="TableStyleMedium2" defaultPivotStyle="PivotStyleLight16"/>
  <colors>
    <mruColors>
      <color rgb="FF00CCFF"/>
      <color rgb="FF005E5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ln[(Vth)</a:t>
            </a:r>
            <a:r>
              <a:rPr lang="en-US" baseline="-25000"/>
              <a:t>O</a:t>
            </a:r>
            <a:r>
              <a:rPr lang="en-US"/>
              <a:t> - Vth / (Vth)</a:t>
            </a:r>
            <a:r>
              <a:rPr lang="en-US" baseline="-25000"/>
              <a:t>O</a:t>
            </a:r>
            <a:r>
              <a:rPr lang="en-US"/>
              <a:t>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2.1'!$F$13</c:f>
              <c:strCache>
                <c:ptCount val="1"/>
                <c:pt idx="0">
                  <c:v>ln[(Vth)O - Vth / (Vth)O]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2.1'!$E$15:$E$17</c:f>
              <c:numCache>
                <c:formatCode>General</c:formatCode>
                <c:ptCount val="3"/>
                <c:pt idx="0">
                  <c:v>0</c:v>
                </c:pt>
                <c:pt idx="1">
                  <c:v>0.69314718055994529</c:v>
                </c:pt>
                <c:pt idx="2">
                  <c:v>2.3025850929940459</c:v>
                </c:pt>
              </c:numCache>
            </c:numRef>
          </c:xVal>
          <c:yVal>
            <c:numRef>
              <c:f>'Problem 2.1'!$F$15:$F$17</c:f>
              <c:numCache>
                <c:formatCode>General</c:formatCode>
                <c:ptCount val="3"/>
                <c:pt idx="0">
                  <c:v>-3.5290307531720395</c:v>
                </c:pt>
                <c:pt idx="1">
                  <c:v>-3.324236340526026</c:v>
                </c:pt>
                <c:pt idx="2">
                  <c:v>-2.9311937524164189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4E-4165-988C-42B2FCC65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57064"/>
        <c:axId val="456657720"/>
      </c:scatterChart>
      <c:valAx>
        <c:axId val="45665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720"/>
        <c:crosses val="autoZero"/>
        <c:crossBetween val="midCat"/>
      </c:valAx>
      <c:valAx>
        <c:axId val="45665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2.2'!$F$12</c:f>
              <c:strCache>
                <c:ptCount val="1"/>
                <c:pt idx="0">
                  <c:v>ln[(CS)O - CS / (CS)O]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2.2'!$E$14:$E$16</c:f>
              <c:numCache>
                <c:formatCode>General</c:formatCode>
                <c:ptCount val="3"/>
                <c:pt idx="0">
                  <c:v>4.6051701859880918</c:v>
                </c:pt>
                <c:pt idx="1">
                  <c:v>5.2983173665480363</c:v>
                </c:pt>
                <c:pt idx="2">
                  <c:v>5.7037824746562009</c:v>
                </c:pt>
              </c:numCache>
            </c:numRef>
          </c:xVal>
          <c:yVal>
            <c:numRef>
              <c:f>'Problem 2.2'!$F$14:$F$16</c:f>
              <c:numCache>
                <c:formatCode>General</c:formatCode>
                <c:ptCount val="3"/>
                <c:pt idx="0">
                  <c:v>0</c:v>
                </c:pt>
                <c:pt idx="1">
                  <c:v>2.0794415416798357</c:v>
                </c:pt>
                <c:pt idx="2">
                  <c:v>3.2958368660043291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41-42E7-94F0-A1784C21C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84336"/>
        <c:axId val="455782040"/>
      </c:scatterChart>
      <c:valAx>
        <c:axId val="45578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2040"/>
        <c:crosses val="autoZero"/>
        <c:crossBetween val="midCat"/>
      </c:valAx>
      <c:valAx>
        <c:axId val="4557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196804461942257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1'!$F$12</c:f>
              <c:strCache>
                <c:ptCount val="1"/>
                <c:pt idx="0">
                  <c:v>ln[(Vth)O - Vth / (Vth)O]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1'!$E$14:$E$16</c:f>
              <c:numCache>
                <c:formatCode>General</c:formatCode>
                <c:ptCount val="3"/>
                <c:pt idx="0">
                  <c:v>0</c:v>
                </c:pt>
                <c:pt idx="1">
                  <c:v>2.3025850929940459</c:v>
                </c:pt>
                <c:pt idx="2">
                  <c:v>4.6051701859880918</c:v>
                </c:pt>
              </c:numCache>
            </c:numRef>
          </c:xVal>
          <c:yVal>
            <c:numRef>
              <c:f>'Problem 1'!$F$14:$F$16</c:f>
              <c:numCache>
                <c:formatCode>General</c:formatCode>
                <c:ptCount val="3"/>
                <c:pt idx="0">
                  <c:v>-2.9957322735539931</c:v>
                </c:pt>
                <c:pt idx="1">
                  <c:v>-2.3025850929940463</c:v>
                </c:pt>
                <c:pt idx="2">
                  <c:v>-1.6094379124341009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44-4DB0-9E76-A99C8A56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84336"/>
        <c:axId val="455782040"/>
      </c:scatterChart>
      <c:valAx>
        <c:axId val="45578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2040"/>
        <c:crosses val="autoZero"/>
        <c:crossBetween val="midCat"/>
      </c:valAx>
      <c:valAx>
        <c:axId val="4557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2'!$F$12</c:f>
              <c:strCache>
                <c:ptCount val="1"/>
                <c:pt idx="0">
                  <c:v>ln[(Pth)O - Pth / (Pth)O]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2'!$E$14:$E$16</c:f>
              <c:numCache>
                <c:formatCode>General</c:formatCode>
                <c:ptCount val="3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</c:numCache>
            </c:numRef>
          </c:xVal>
          <c:yVal>
            <c:numRef>
              <c:f>'Problem 2'!$F$14:$F$16</c:f>
              <c:numCache>
                <c:formatCode>General</c:formatCode>
                <c:ptCount val="3"/>
                <c:pt idx="0">
                  <c:v>-3.2188758248681997</c:v>
                </c:pt>
                <c:pt idx="1">
                  <c:v>-2.8030479297244892</c:v>
                </c:pt>
                <c:pt idx="2">
                  <c:v>-2.5615177521598413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46-4BCC-A2CC-33F1962BD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57064"/>
        <c:axId val="456657720"/>
      </c:scatterChart>
      <c:valAx>
        <c:axId val="45665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720"/>
        <c:crosses val="autoZero"/>
        <c:crossBetween val="midCat"/>
      </c:valAx>
      <c:valAx>
        <c:axId val="45665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3'!$F$12</c:f>
              <c:strCache>
                <c:ptCount val="1"/>
                <c:pt idx="0">
                  <c:v>ln[(Rth)O - Rth / (Rth)O]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3'!$E$14:$E$16</c:f>
              <c:numCache>
                <c:formatCode>General</c:formatCode>
                <c:ptCount val="3"/>
                <c:pt idx="0">
                  <c:v>0</c:v>
                </c:pt>
                <c:pt idx="1">
                  <c:v>1.6094379124341003</c:v>
                </c:pt>
                <c:pt idx="2">
                  <c:v>2.3025850929940459</c:v>
                </c:pt>
              </c:numCache>
            </c:numRef>
          </c:xVal>
          <c:yVal>
            <c:numRef>
              <c:f>'Problem 3'!$F$14:$F$16</c:f>
              <c:numCache>
                <c:formatCode>General</c:formatCode>
                <c:ptCount val="3"/>
                <c:pt idx="0">
                  <c:v>-6.2146080984222127</c:v>
                </c:pt>
                <c:pt idx="1">
                  <c:v>-3.8167128256238181</c:v>
                </c:pt>
                <c:pt idx="2">
                  <c:v>-2.7646205525906029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9-42E4-B28B-2F748C371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84336"/>
        <c:axId val="455782040"/>
      </c:scatterChart>
      <c:valAx>
        <c:axId val="45578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2040"/>
        <c:crosses val="autoZero"/>
        <c:crossBetween val="midCat"/>
      </c:valAx>
      <c:valAx>
        <c:axId val="4557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4'!$F$12</c:f>
              <c:strCache>
                <c:ptCount val="1"/>
                <c:pt idx="0">
                  <c:v>ln[(Tox)O - Tox th / (Tox th)O]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4'!$E$14:$E$16</c:f>
              <c:numCache>
                <c:formatCode>General</c:formatCode>
                <c:ptCount val="3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</c:numCache>
            </c:numRef>
          </c:xVal>
          <c:yVal>
            <c:numRef>
              <c:f>'Problem 4'!$F$14:$F$16</c:f>
              <c:numCache>
                <c:formatCode>General</c:formatCode>
                <c:ptCount val="3"/>
                <c:pt idx="0">
                  <c:v>-0.10536051565782641</c:v>
                </c:pt>
                <c:pt idx="1">
                  <c:v>0.23901690047049992</c:v>
                </c:pt>
                <c:pt idx="2">
                  <c:v>0.44468582126144574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F9-4EA9-B255-7A421E907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84336"/>
        <c:axId val="455782040"/>
      </c:scatterChart>
      <c:valAx>
        <c:axId val="45578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2040"/>
        <c:crosses val="autoZero"/>
        <c:crossBetween val="midCat"/>
      </c:valAx>
      <c:valAx>
        <c:axId val="4557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5'!$F$12</c:f>
              <c:strCache>
                <c:ptCount val="1"/>
                <c:pt idx="0">
                  <c:v>ln[(Tox)O - Tox th / (Tox th)O]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4122661234351989E-2"/>
                  <c:y val="0.121440679123313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5'!$E$14:$E$16</c:f>
              <c:numCache>
                <c:formatCode>General</c:formatCode>
                <c:ptCount val="3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</c:numCache>
            </c:numRef>
          </c:xVal>
          <c:yVal>
            <c:numRef>
              <c:f>'Problem 5'!$F$14:$F$16</c:f>
              <c:numCache>
                <c:formatCode>General</c:formatCode>
                <c:ptCount val="3"/>
                <c:pt idx="0">
                  <c:v>-2.302585092994045</c:v>
                </c:pt>
                <c:pt idx="1">
                  <c:v>-0.91629073187415533</c:v>
                </c:pt>
                <c:pt idx="2">
                  <c:v>-0.10536051565782641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50-4565-9859-CE349877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84336"/>
        <c:axId val="455782040"/>
      </c:scatterChart>
      <c:valAx>
        <c:axId val="45578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2040"/>
        <c:crosses val="autoZero"/>
        <c:crossBetween val="midCat"/>
      </c:valAx>
      <c:valAx>
        <c:axId val="4557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8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'Problem 6'!$F$12</c:f>
              <c:strCache>
                <c:ptCount val="1"/>
                <c:pt idx="0">
                  <c:v>ln[(Na / K )O - Na / K th / (Na / K)O]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'Problem 6'!$E$14:$E$16</c:f>
              <c:numCache>
                <c:formatCode>General</c:formatCode>
                <c:ptCount val="3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</c:numCache>
            </c:numRef>
          </c:xVal>
          <c:yVal>
            <c:numRef>
              <c:f>'Problem 6'!$F$14:$F$16</c:f>
              <c:numCache>
                <c:formatCode>General</c:formatCode>
                <c:ptCount val="3"/>
                <c:pt idx="0">
                  <c:v>-4.6029802899150543</c:v>
                </c:pt>
                <c:pt idx="1">
                  <c:v>-4.3310465744314177</c:v>
                </c:pt>
                <c:pt idx="2">
                  <c:v>-4.1566931872866357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BD-44E1-B0DF-21530E527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57064"/>
        <c:axId val="456657720"/>
      </c:scatterChart>
      <c:valAx>
        <c:axId val="45665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720"/>
        <c:crosses val="autoZero"/>
        <c:crossBetween val="midCat"/>
      </c:valAx>
      <c:valAx>
        <c:axId val="45665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SN Curve</a:t>
            </a:r>
          </a:p>
        </c:rich>
      </c:tx>
      <c:layout>
        <c:manualLayout>
          <c:xMode val="edge"/>
          <c:yMode val="edge"/>
          <c:x val="0.43662070410212805"/>
          <c:y val="2.30414746543778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93919852919264"/>
          <c:y val="0.14746576960723648"/>
          <c:w val="0.82394555078480503"/>
          <c:h val="0.63133782613098122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[1]InvPowerLaw!$I$12</c:f>
              <c:strCache>
                <c:ptCount val="1"/>
                <c:pt idx="0">
                  <c:v>Strngth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[1]InvPowerLaw!$H$13:$H$14</c:f>
              <c:numCache>
                <c:formatCode>General</c:formatCode>
                <c:ptCount val="2"/>
                <c:pt idx="0">
                  <c:v>1000</c:v>
                </c:pt>
                <c:pt idx="1">
                  <c:v>1000000</c:v>
                </c:pt>
              </c:numCache>
            </c:numRef>
          </c:xVal>
          <c:yVal>
            <c:numRef>
              <c:f>[1]InvPowerLaw!$I$13:$I$14</c:f>
              <c:numCache>
                <c:formatCode>General</c:formatCode>
                <c:ptCount val="2"/>
                <c:pt idx="0">
                  <c:v>100</c:v>
                </c:pt>
                <c:pt idx="1">
                  <c:v>42.169621589183002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06-495A-A535-1E7F5FC2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28672"/>
        <c:axId val="1"/>
      </c:scatterChart>
      <c:valAx>
        <c:axId val="520928672"/>
        <c:scaling>
          <c:logBase val="10"/>
          <c:orientation val="minMax"/>
          <c:min val="1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Cycles</a:t>
                </a:r>
              </a:p>
            </c:rich>
          </c:tx>
          <c:layout>
            <c:manualLayout>
              <c:xMode val="edge"/>
              <c:yMode val="edge"/>
              <c:x val="0.46009488250588393"/>
              <c:y val="0.884794561970076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Strength (KSI)</a:t>
                </a:r>
              </a:p>
            </c:rich>
          </c:tx>
          <c:layout>
            <c:manualLayout>
              <c:xMode val="edge"/>
              <c:yMode val="edge"/>
              <c:x val="1.1737089201877934E-2"/>
              <c:y val="0.27649817966302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09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 Miner rule I'!$D$22</c:f>
              <c:strCache>
                <c:ptCount val="1"/>
                <c:pt idx="0">
                  <c:v>Damage fraction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 Miner rule I'!$C$23:$C$33</c:f>
              <c:numCache>
                <c:formatCode>0</c:formatCode>
                <c:ptCount val="11"/>
                <c:pt idx="0" formatCode="General">
                  <c:v>340</c:v>
                </c:pt>
                <c:pt idx="1">
                  <c:v>306.12244897959187</c:v>
                </c:pt>
                <c:pt idx="2">
                  <c:v>272.108843537415</c:v>
                </c:pt>
                <c:pt idx="3">
                  <c:v>238.09523809523813</c:v>
                </c:pt>
                <c:pt idx="4">
                  <c:v>204.08163265306126</c:v>
                </c:pt>
                <c:pt idx="5">
                  <c:v>170.0680272108844</c:v>
                </c:pt>
                <c:pt idx="6">
                  <c:v>136.05442176870753</c:v>
                </c:pt>
                <c:pt idx="7">
                  <c:v>102.04081632653067</c:v>
                </c:pt>
                <c:pt idx="8">
                  <c:v>68.027210884353792</c:v>
                </c:pt>
                <c:pt idx="9">
                  <c:v>34.013605442176917</c:v>
                </c:pt>
                <c:pt idx="10">
                  <c:v>4.7203359890525365E-14</c:v>
                </c:pt>
              </c:numCache>
            </c:numRef>
          </c:xVal>
          <c:yVal>
            <c:numRef>
              <c:f>' Miner rule I'!$D$23:$D$33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0.70000000000000007</c:v>
                </c:pt>
                <c:pt idx="4">
                  <c:v>0.60000000000000009</c:v>
                </c:pt>
                <c:pt idx="5">
                  <c:v>0.50000000000000011</c:v>
                </c:pt>
                <c:pt idx="6">
                  <c:v>0.40000000000000013</c:v>
                </c:pt>
                <c:pt idx="7">
                  <c:v>0.30000000000000016</c:v>
                </c:pt>
                <c:pt idx="8">
                  <c:v>0.20000000000000015</c:v>
                </c:pt>
                <c:pt idx="9">
                  <c:v>0.10000000000000014</c:v>
                </c:pt>
                <c:pt idx="10" formatCode="0">
                  <c:v>1.3877787807814457E-16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98-4E8D-BB75-C3086D922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776336"/>
        <c:axId val="224573624"/>
      </c:scatterChart>
      <c:valAx>
        <c:axId val="81277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573624"/>
        <c:crosses val="autoZero"/>
        <c:crossBetween val="midCat"/>
      </c:valAx>
      <c:valAx>
        <c:axId val="2245736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776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'Miners rule II'!$D$27</c:f>
              <c:strCache>
                <c:ptCount val="1"/>
                <c:pt idx="0">
                  <c:v>Damage fraction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'Miners rule II'!$C$28:$C$38</c:f>
              <c:numCache>
                <c:formatCode>0.0</c:formatCode>
                <c:ptCount val="11"/>
                <c:pt idx="0">
                  <c:v>2.9020933558704982</c:v>
                </c:pt>
                <c:pt idx="1">
                  <c:v>2.6118840202834486</c:v>
                </c:pt>
                <c:pt idx="2">
                  <c:v>2.3216746846963985</c:v>
                </c:pt>
                <c:pt idx="3">
                  <c:v>2.0314653491093488</c:v>
                </c:pt>
                <c:pt idx="4">
                  <c:v>1.7412560135222992</c:v>
                </c:pt>
                <c:pt idx="5">
                  <c:v>1.4510466779352493</c:v>
                </c:pt>
                <c:pt idx="6">
                  <c:v>1.1608373423481997</c:v>
                </c:pt>
                <c:pt idx="7">
                  <c:v>0.87062800676114993</c:v>
                </c:pt>
                <c:pt idx="8">
                  <c:v>0.58041867117410006</c:v>
                </c:pt>
                <c:pt idx="9">
                  <c:v>0.29020933558705025</c:v>
                </c:pt>
                <c:pt idx="10">
                  <c:v>4.0274635791238942E-16</c:v>
                </c:pt>
              </c:numCache>
            </c:numRef>
          </c:xVal>
          <c:yVal>
            <c:numRef>
              <c:f>'Miners rule II'!$D$28:$D$38</c:f>
              <c:numCache>
                <c:formatCode>General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0.70000000000000007</c:v>
                </c:pt>
                <c:pt idx="4">
                  <c:v>0.60000000000000009</c:v>
                </c:pt>
                <c:pt idx="5">
                  <c:v>0.50000000000000011</c:v>
                </c:pt>
                <c:pt idx="6">
                  <c:v>0.40000000000000013</c:v>
                </c:pt>
                <c:pt idx="7">
                  <c:v>0.30000000000000016</c:v>
                </c:pt>
                <c:pt idx="8">
                  <c:v>0.20000000000000015</c:v>
                </c:pt>
                <c:pt idx="9">
                  <c:v>0.10000000000000014</c:v>
                </c:pt>
                <c:pt idx="10" formatCode="0">
                  <c:v>1.3877787807814457E-16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00-4A4D-997D-4751D2D55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950616"/>
        <c:axId val="590835592"/>
      </c:scatterChart>
      <c:valAx>
        <c:axId val="813950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35592"/>
        <c:crosses val="autoZero"/>
        <c:crossBetween val="midCat"/>
      </c:valAx>
      <c:valAx>
        <c:axId val="59083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95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gif"/><Relationship Id="rId1" Type="http://schemas.openxmlformats.org/officeDocument/2006/relationships/image" Target="../media/image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14</xdr:col>
          <xdr:colOff>142875</xdr:colOff>
          <xdr:row>28</xdr:row>
          <xdr:rowOff>47625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2</xdr:row>
      <xdr:rowOff>0</xdr:rowOff>
    </xdr:from>
    <xdr:to>
      <xdr:col>13</xdr:col>
      <xdr:colOff>238125</xdr:colOff>
      <xdr:row>15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5</xdr:row>
      <xdr:rowOff>190500</xdr:rowOff>
    </xdr:from>
    <xdr:to>
      <xdr:col>14</xdr:col>
      <xdr:colOff>390525</xdr:colOff>
      <xdr:row>19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523874</xdr:colOff>
      <xdr:row>5</xdr:row>
      <xdr:rowOff>190500</xdr:rowOff>
    </xdr:from>
    <xdr:to>
      <xdr:col>15</xdr:col>
      <xdr:colOff>419099</xdr:colOff>
      <xdr:row>22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447674</xdr:colOff>
      <xdr:row>8</xdr:row>
      <xdr:rowOff>190499</xdr:rowOff>
    </xdr:from>
    <xdr:to>
      <xdr:col>16</xdr:col>
      <xdr:colOff>152399</xdr:colOff>
      <xdr:row>27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5</xdr:row>
      <xdr:rowOff>190500</xdr:rowOff>
    </xdr:from>
    <xdr:to>
      <xdr:col>13</xdr:col>
      <xdr:colOff>295275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5</xdr:row>
      <xdr:rowOff>190500</xdr:rowOff>
    </xdr:from>
    <xdr:to>
      <xdr:col>13</xdr:col>
      <xdr:colOff>295275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5</xdr:row>
      <xdr:rowOff>190500</xdr:rowOff>
    </xdr:from>
    <xdr:to>
      <xdr:col>13</xdr:col>
      <xdr:colOff>295275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190500</xdr:rowOff>
    </xdr:from>
    <xdr:to>
      <xdr:col>13</xdr:col>
      <xdr:colOff>219075</xdr:colOff>
      <xdr:row>22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10</xdr:row>
      <xdr:rowOff>64294</xdr:rowOff>
    </xdr:from>
    <xdr:to>
      <xdr:col>13</xdr:col>
      <xdr:colOff>657224</xdr:colOff>
      <xdr:row>26</xdr:row>
      <xdr:rowOff>188119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0</xdr:row>
          <xdr:rowOff>190500</xdr:rowOff>
        </xdr:from>
        <xdr:to>
          <xdr:col>8</xdr:col>
          <xdr:colOff>600075</xdr:colOff>
          <xdr:row>4</xdr:row>
          <xdr:rowOff>180975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0</xdr:row>
          <xdr:rowOff>209550</xdr:rowOff>
        </xdr:from>
        <xdr:to>
          <xdr:col>13</xdr:col>
          <xdr:colOff>180975</xdr:colOff>
          <xdr:row>4</xdr:row>
          <xdr:rowOff>28575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0.12492</cdr:x>
      <cdr:y>0.64103</cdr:y>
    </cdr:from>
    <cdr:to>
      <cdr:x>0.45383</cdr:x>
      <cdr:y>0.71352</cdr:y>
    </cdr:to>
    <cdr:sp macro="" textlink="">
      <cdr:nvSpPr>
        <cdr:cNvPr id="2" name="Text Box 6">
          <a:extLst xmlns:a="http://schemas.openxmlformats.org/drawingml/2006/main">
            <a:ext uri="{FF2B5EF4-FFF2-40B4-BE49-F238E27FC236}">
              <a16:creationId xmlns:a16="http://schemas.microsoft.com/office/drawing/2014/main" id="{DA966C71-D7AB-4BE8-A171-7799EC55A36A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1825" y="1508125"/>
          <a:ext cx="1663532" cy="17056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 = log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10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(N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/N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 / log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10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(S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/S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)</a:t>
          </a:r>
        </a:p>
      </cdr:txBody>
    </cdr:sp>
  </cdr:relSizeAnchor>
  <cdr:relSizeAnchor xmlns:cdr="http://schemas.openxmlformats.org/drawingml/2006/chartDrawing">
    <cdr:from>
      <cdr:x>0.69931</cdr:x>
      <cdr:y>0.64103</cdr:y>
    </cdr:from>
    <cdr:to>
      <cdr:x>0.85938</cdr:x>
      <cdr:y>0.73819</cdr:y>
    </cdr:to>
    <cdr:sp macro="" textlink="">
      <cdr:nvSpPr>
        <cdr:cNvPr id="3" name="Text Box 13">
          <a:extLst xmlns:a="http://schemas.openxmlformats.org/drawingml/2006/main">
            <a:ext uri="{FF2B5EF4-FFF2-40B4-BE49-F238E27FC236}">
              <a16:creationId xmlns:a16="http://schemas.microsoft.com/office/drawing/2014/main" id="{5286CDE0-2245-45FD-B123-43EA9C34D97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36950" y="1508125"/>
          <a:ext cx="809625" cy="2286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cdr:spPr>
      <cdr:txBody>
        <a:bodyPr xmlns:a="http://schemas.openxmlformats.org/drawingml/2006/main" wrap="none" lIns="18288" tIns="22860" rIns="0" bIns="0" anchor="t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1</a:t>
          </a:r>
          <a:r>
            <a:rPr lang="en-US" sz="1000" b="0" i="0" u="none" strike="noStrike" baseline="3000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= N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r>
            <a: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en-US" sz="1000" b="0" i="0" u="none" strike="noStrike" baseline="30000">
              <a:solidFill>
                <a:srgbClr val="000000"/>
              </a:solidFill>
              <a:latin typeface="Arial"/>
              <a:cs typeface="Arial"/>
            </a:rPr>
            <a:t>b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122767</xdr:rowOff>
    </xdr:from>
    <xdr:to>
      <xdr:col>6</xdr:col>
      <xdr:colOff>423333</xdr:colOff>
      <xdr:row>4</xdr:row>
      <xdr:rowOff>56092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7555442" y="524934"/>
              <a:ext cx="2805641" cy="377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R </a:t>
              </a:r>
              <a:r>
                <a:rPr lang="en-US" sz="1400" baseline="-2500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s</a:t>
              </a:r>
              <a:r>
                <a:rPr lang="en-US" sz="1400" baseline="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 (t) </a:t>
              </a:r>
              <a14:m>
                <m:oMath xmlns:m="http://schemas.openxmlformats.org/officeDocument/2006/math">
                  <m:r>
                    <a:rPr lang="en-US" sz="1400" i="1">
                      <a:latin typeface="Cambria Math" panose="02040503050406030204" pitchFamily="18" charset="0"/>
                    </a:rPr>
                    <m:t>=</m:t>
                  </m:r>
                  <m:sSup>
                    <m:sSup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400" b="0" i="1">
                          <a:latin typeface="Cambria Math" panose="02040503050406030204" pitchFamily="18" charset="0"/>
                        </a:rPr>
                        <m:t>ⅇ</m:t>
                      </m:r>
                    </m:e>
                    <m:sup>
                      <m:r>
                        <a:rPr lang="en-US" sz="14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b="0" i="1" baseline="-25000">
                          <a:latin typeface="Cambria Math" panose="02040503050406030204" pitchFamily="18" charset="0"/>
                        </a:rPr>
                        <m:t>𝑎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𝑡</m:t>
                      </m:r>
                    </m:sup>
                  </m:sSup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𝑝</m:t>
                      </m:r>
                      <m:r>
                        <m:rPr>
                          <m:sty m:val="p"/>
                        </m:rPr>
                        <a:rPr lang="el-GR" sz="1400" b="0" i="1">
                          <a:latin typeface="Cambria Math" panose="02040503050406030204" pitchFamily="18" charset="0"/>
                        </a:rPr>
                        <m:t>λ</m:t>
                      </m:r>
                      <m:r>
                        <a:rPr lang="en-US" sz="1400" b="0" i="1" baseline="-25000">
                          <a:latin typeface="Cambria Math" panose="02040503050406030204" pitchFamily="18" charset="0"/>
                        </a:rPr>
                        <m:t>𝑎</m:t>
                      </m:r>
                    </m:num>
                    <m:den>
                      <m:r>
                        <m:rPr>
                          <m:sty m:val="p"/>
                        </m:rPr>
                        <a:rPr lang="en-US" sz="1400" i="1">
                          <a:latin typeface="Cambria Math" panose="02040503050406030204" pitchFamily="18" charset="0"/>
                        </a:rPr>
                        <m:t>λ</m:t>
                      </m:r>
                      <m:r>
                        <a:rPr lang="en-US" sz="1400" b="0" i="1" baseline="-25000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 − </m:t>
                      </m:r>
                      <m:r>
                        <m:rPr>
                          <m:sty m:val="p"/>
                        </m:rPr>
                        <a:rPr lang="el-GR" sz="1400" b="0" i="1">
                          <a:latin typeface="Cambria Math" panose="02040503050406030204" pitchFamily="18" charset="0"/>
                        </a:rPr>
                        <m:t>λ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𝑎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 </m:t>
                      </m:r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(</m:t>
                  </m:r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ⅇ</m:t>
                      </m:r>
                    </m:e>
                    <m:sup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b="0" i="1" baseline="-25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𝑎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𝑡</m:t>
                      </m:r>
                    </m:sup>
                  </m:sSup>
                </m:oMath>
              </a14:m>
              <a:r>
                <a:rPr lang="en-US" sz="1400">
                  <a:latin typeface="GE Inspira Book" panose="020B0503030400020204" pitchFamily="34" charset="0"/>
                  <a:cs typeface="Rod" panose="02030509050101010101" pitchFamily="49" charset="-79"/>
                </a:rPr>
                <a:t> - 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ⅇ</m:t>
                      </m:r>
                    </m:e>
                    <m:sup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b="0" i="1" baseline="-250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</a:rPr>
                        <m:t>𝑡</m:t>
                      </m:r>
                    </m:sup>
                  </m:sSup>
                </m:oMath>
              </a14:m>
              <a:r>
                <a:rPr lang="en-US" sz="1400">
                  <a:latin typeface="GE Inspira Book" panose="020B0503030400020204" pitchFamily="34" charset="0"/>
                  <a:cs typeface="Rod" panose="02030509050101010101" pitchFamily="49" charset="-79"/>
                </a:rPr>
                <a:t>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7555442" y="524934"/>
              <a:ext cx="2805641" cy="3778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rtl="0" eaLnBrk="0" fontAlgn="base" hangingPunct="0">
                <a:spcBef>
                  <a:spcPct val="0"/>
                </a:spcBef>
                <a:spcAft>
                  <a:spcPct val="0"/>
                </a:spcAft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32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R </a:t>
              </a:r>
              <a:r>
                <a:rPr lang="en-US" sz="1400" baseline="-2500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s</a:t>
              </a:r>
              <a:r>
                <a:rPr lang="en-US" sz="1400" baseline="0">
                  <a:latin typeface="GE Inspira Book" panose="020B0503030400020204" pitchFamily="34" charset="0"/>
                  <a:ea typeface="Cambria Math" panose="02040503050406030204" pitchFamily="18" charset="0"/>
                  <a:cs typeface="Rod" panose="02030509050101010101" pitchFamily="49" charset="-79"/>
                </a:rPr>
                <a:t> (t) </a:t>
              </a:r>
              <a:r>
                <a:rPr lang="en-US" sz="1400" i="0">
                  <a:latin typeface="Cambria Math" panose="02040503050406030204" pitchFamily="18" charset="0"/>
                </a:rPr>
                <a:t>=</a:t>
              </a:r>
              <a:r>
                <a:rPr lang="en-US" sz="1400" b="0" i="0">
                  <a:latin typeface="Cambria Math" panose="02040503050406030204" pitchFamily="18" charset="0"/>
                </a:rPr>
                <a:t>ⅇ^(−𝜆</a:t>
              </a:r>
              <a:r>
                <a:rPr lang="en-US" sz="1400" b="0" i="0" baseline="-2500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Cambria Math" panose="02040503050406030204" pitchFamily="18" charset="0"/>
                </a:rPr>
                <a:t>𝑡)+𝑝</a:t>
              </a:r>
              <a:r>
                <a:rPr lang="el-GR" sz="1400" b="0" i="0">
                  <a:latin typeface="Cambria Math" panose="02040503050406030204" pitchFamily="18" charset="0"/>
                </a:rPr>
                <a:t>λ</a:t>
              </a:r>
              <a:r>
                <a:rPr lang="en-US" sz="1400" b="0" i="0" baseline="-25000">
                  <a:latin typeface="Cambria Math" panose="02040503050406030204" pitchFamily="18" charset="0"/>
                </a:rPr>
                <a:t>𝑎/(</a:t>
              </a:r>
              <a:r>
                <a:rPr lang="en-US" sz="1400" i="0">
                  <a:latin typeface="Cambria Math" panose="02040503050406030204" pitchFamily="18" charset="0"/>
                </a:rPr>
                <a:t>λ</a:t>
              </a:r>
              <a:r>
                <a:rPr lang="en-US" sz="1400" b="0" i="0" baseline="-25000">
                  <a:latin typeface="Cambria Math" panose="02040503050406030204" pitchFamily="18" charset="0"/>
                </a:rPr>
                <a:t>𝑏</a:t>
              </a:r>
              <a:r>
                <a:rPr lang="en-US" sz="1400" b="0" i="0">
                  <a:latin typeface="Cambria Math" panose="02040503050406030204" pitchFamily="18" charset="0"/>
                </a:rPr>
                <a:t> − </a:t>
              </a:r>
              <a:r>
                <a:rPr lang="el-GR" sz="1400" b="0" i="0">
                  <a:latin typeface="Cambria Math" panose="02040503050406030204" pitchFamily="18" charset="0"/>
                </a:rPr>
                <a:t>λ</a:t>
              </a:r>
              <a:r>
                <a:rPr lang="en-US" sz="1400" b="0" i="0">
                  <a:latin typeface="Cambria Math" panose="02040503050406030204" pitchFamily="18" charset="0"/>
                </a:rPr>
                <a:t>𝑎 )(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ⅇ^(−𝜆</a:t>
              </a:r>
              <a:r>
                <a:rPr lang="en-US" sz="14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𝑡)</a:t>
              </a:r>
              <a:r>
                <a:rPr lang="en-US" sz="1400">
                  <a:latin typeface="GE Inspira Book" panose="020B0503030400020204" pitchFamily="34" charset="0"/>
                  <a:cs typeface="Rod" panose="02030509050101010101" pitchFamily="49" charset="-79"/>
                </a:rPr>
                <a:t> -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ⅇ^(−𝜆</a:t>
              </a:r>
              <a:r>
                <a:rPr lang="en-US" sz="1400" b="0" i="0" baseline="-2500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𝑏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𝑡)</a:t>
              </a:r>
              <a:r>
                <a:rPr lang="en-US" sz="1400">
                  <a:latin typeface="GE Inspira Book" panose="020B0503030400020204" pitchFamily="34" charset="0"/>
                  <a:cs typeface="Rod" panose="02030509050101010101" pitchFamily="49" charset="-79"/>
                </a:rPr>
                <a:t>)</a:t>
              </a:r>
            </a:p>
          </xdr:txBody>
        </xdr:sp>
      </mc:Fallback>
    </mc:AlternateContent>
    <xdr:clientData/>
  </xdr:twoCellAnchor>
  <xdr:twoCellAnchor>
    <xdr:from>
      <xdr:col>3</xdr:col>
      <xdr:colOff>1019175</xdr:colOff>
      <xdr:row>5</xdr:row>
      <xdr:rowOff>86783</xdr:rowOff>
    </xdr:from>
    <xdr:to>
      <xdr:col>7</xdr:col>
      <xdr:colOff>370415</xdr:colOff>
      <xdr:row>8</xdr:row>
      <xdr:rowOff>126999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6713008" y="1176866"/>
          <a:ext cx="4283074" cy="72813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vert="horz" wrap="square" lIns="0" tIns="0" rIns="0" bIns="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5pPr>
          <a:lvl6pPr marL="2286000" algn="l" defTabSz="914400" rtl="0" eaLnBrk="1" latinLnBrk="0" hangingPunct="1"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6pPr>
          <a:lvl7pPr marL="2743200" algn="l" defTabSz="914400" rtl="0" eaLnBrk="1" latinLnBrk="0" hangingPunct="1"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7pPr>
          <a:lvl8pPr marL="3200400" algn="l" defTabSz="914400" rtl="0" eaLnBrk="1" latinLnBrk="0" hangingPunct="1"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8pPr>
          <a:lvl9pPr marL="3657600" algn="l" defTabSz="914400" rtl="0" eaLnBrk="1" latinLnBrk="0" hangingPunct="1">
            <a:defRPr sz="3200" kern="1200">
              <a:solidFill>
                <a:schemeClr val="tx1"/>
              </a:solidFill>
              <a:latin typeface="GE Inspira Pitch" pitchFamily="34" charset="0"/>
              <a:ea typeface="+mn-ea"/>
              <a:cs typeface="+mn-cs"/>
            </a:defRPr>
          </a:lvl9pPr>
        </a:lstStyle>
        <a:p>
          <a:pPr marL="0" indent="0" algn="l" rtl="0" eaLnBrk="0" fontAlgn="base" hangingPunct="0">
            <a:spcBef>
              <a:spcPct val="0"/>
            </a:spcBef>
            <a:spcAft>
              <a:spcPct val="0"/>
            </a:spcAft>
          </a:pPr>
          <a:r>
            <a:rPr lang="en-GB" sz="1200" kern="1200">
              <a:solidFill>
                <a:schemeClr val="tx1"/>
              </a:solidFill>
              <a:latin typeface="GE Inspira Book" panose="020B0503030400020204" pitchFamily="34" charset="0"/>
              <a:ea typeface="Cambria Math" panose="02040503050406030204" pitchFamily="18" charset="0"/>
              <a:cs typeface="Rod" panose="02030509050101010101" pitchFamily="49" charset="-79"/>
            </a:rPr>
            <a:t>Where: p is the reliability of the switch</a:t>
          </a:r>
        </a:p>
        <a:p>
          <a:pPr marL="0" indent="0" algn="l" rtl="0" eaLnBrk="0" fontAlgn="base" hangingPunct="0">
            <a:spcBef>
              <a:spcPct val="0"/>
            </a:spcBef>
            <a:spcAft>
              <a:spcPct val="0"/>
            </a:spcAft>
          </a:pPr>
          <a:r>
            <a:rPr lang="en-GB" sz="1200" kern="1200">
              <a:solidFill>
                <a:schemeClr val="tx1"/>
              </a:solidFill>
              <a:latin typeface="GE Inspira Book" panose="020B0503030400020204" pitchFamily="34" charset="0"/>
              <a:ea typeface="Cambria Math" panose="02040503050406030204" pitchFamily="18" charset="0"/>
              <a:cs typeface="Rod" panose="02030509050101010101" pitchFamily="49" charset="-79"/>
            </a:rPr>
            <a:t>	   λa is the failure rate for the primary component</a:t>
          </a:r>
        </a:p>
        <a:p>
          <a:pPr marL="0" indent="0" algn="l" rtl="0" eaLnBrk="0" fontAlgn="base" hangingPunct="0">
            <a:spcBef>
              <a:spcPct val="0"/>
            </a:spcBef>
            <a:spcAft>
              <a:spcPct val="0"/>
            </a:spcAft>
          </a:pPr>
          <a:r>
            <a:rPr lang="en-GB" sz="1200" kern="1200">
              <a:solidFill>
                <a:schemeClr val="tx1"/>
              </a:solidFill>
              <a:latin typeface="GE Inspira Book" panose="020B0503030400020204" pitchFamily="34" charset="0"/>
              <a:ea typeface="Cambria Math" panose="02040503050406030204" pitchFamily="18" charset="0"/>
              <a:cs typeface="Rod" panose="02030509050101010101" pitchFamily="49" charset="-79"/>
            </a:rPr>
            <a:t>	   λb is the failure rate of the standby component</a:t>
          </a:r>
        </a:p>
        <a:p>
          <a:pPr marL="297180"/>
          <a:r>
            <a:rPr lang="en-GB" sz="1400" kern="0">
              <a:latin typeface="GE Inspira Book" panose="020B0503030400020204" pitchFamily="34" charset="0"/>
            </a:rPr>
            <a:t>	</a:t>
          </a:r>
        </a:p>
        <a:p>
          <a:pPr marL="754380" lvl="1"/>
          <a:endParaRPr lang="en-GB" sz="1400" kern="0">
            <a:latin typeface="GE Inspira Book" panose="020B0503030400020204" pitchFamily="34" charset="0"/>
          </a:endParaRPr>
        </a:p>
        <a:p>
          <a:pPr marL="640080" indent="-342900">
            <a:buFont typeface="Arial" panose="020B0604020202020204" pitchFamily="34" charset="0"/>
            <a:buChar char="•"/>
          </a:pPr>
          <a:endParaRPr lang="en-GB" sz="1400" kern="0">
            <a:latin typeface="GE Inspira Book" panose="020B0503030400020204" pitchFamily="34" charset="0"/>
          </a:endParaRPr>
        </a:p>
        <a:p>
          <a:pPr marL="297180"/>
          <a:r>
            <a:rPr lang="en-GB" sz="1400" kern="0">
              <a:latin typeface="GE Inspira Book" panose="020B0503030400020204" pitchFamily="34" charset="0"/>
            </a:rPr>
            <a:t>		</a:t>
          </a:r>
        </a:p>
        <a:p>
          <a:pPr marL="297180"/>
          <a:endParaRPr lang="en-GB" sz="1400" kern="0">
            <a:latin typeface="GE Inspira Book" panose="020B0503030400020204" pitchFamily="34" charset="0"/>
          </a:endParaRPr>
        </a:p>
        <a:p>
          <a:r>
            <a:rPr lang="en-GB" sz="1400" kern="0">
              <a:latin typeface="GE Inspira Book" panose="020B0503030400020204" pitchFamily="34" charset="0"/>
            </a:rPr>
            <a:t>	</a:t>
          </a:r>
        </a:p>
      </xdr:txBody>
    </xdr:sp>
    <xdr:clientData/>
  </xdr:twoCellAnchor>
  <xdr:twoCellAnchor editAs="oneCell">
    <xdr:from>
      <xdr:col>1</xdr:col>
      <xdr:colOff>1</xdr:colOff>
      <xdr:row>20</xdr:row>
      <xdr:rowOff>0</xdr:rowOff>
    </xdr:from>
    <xdr:to>
      <xdr:col>2</xdr:col>
      <xdr:colOff>352426</xdr:colOff>
      <xdr:row>41</xdr:row>
      <xdr:rowOff>143933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1" y="4543425"/>
          <a:ext cx="3505200" cy="427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590742</xdr:colOff>
      <xdr:row>22</xdr:row>
      <xdr:rowOff>124499</xdr:rowOff>
    </xdr:from>
    <xdr:to>
      <xdr:col>4</xdr:col>
      <xdr:colOff>1116049</xdr:colOff>
      <xdr:row>39</xdr:row>
      <xdr:rowOff>18667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26242" y="5098666"/>
          <a:ext cx="3435724" cy="3312584"/>
        </a:xfrm>
        <a:prstGeom prst="rect">
          <a:avLst/>
        </a:prstGeom>
      </xdr:spPr>
    </xdr:pic>
    <xdr:clientData/>
  </xdr:twoCellAnchor>
  <xdr:twoCellAnchor editAs="oneCell">
    <xdr:from>
      <xdr:col>5</xdr:col>
      <xdr:colOff>271704</xdr:colOff>
      <xdr:row>20</xdr:row>
      <xdr:rowOff>7698</xdr:rowOff>
    </xdr:from>
    <xdr:to>
      <xdr:col>13</xdr:col>
      <xdr:colOff>30109</xdr:colOff>
      <xdr:row>40</xdr:row>
      <xdr:rowOff>193386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1537" y="4579698"/>
          <a:ext cx="5917905" cy="4207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250031</xdr:colOff>
      <xdr:row>0</xdr:row>
      <xdr:rowOff>238125</xdr:rowOff>
    </xdr:from>
    <xdr:to>
      <xdr:col>12</xdr:col>
      <xdr:colOff>631030</xdr:colOff>
      <xdr:row>15</xdr:row>
      <xdr:rowOff>119062</xdr:rowOff>
    </xdr:to>
    <xdr:pic>
      <xdr:nvPicPr>
        <xdr:cNvPr id="2" name="Picture 1" descr="Image result for stress strain curve for different materials ppt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7344" y="238125"/>
          <a:ext cx="5905499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26</xdr:col>
      <xdr:colOff>312963</xdr:colOff>
      <xdr:row>17</xdr:row>
      <xdr:rowOff>171016</xdr:rowOff>
    </xdr:to>
    <xdr:pic>
      <xdr:nvPicPr>
        <xdr:cNvPr id="3" name="Picture 2" descr="Image result for stress strain for different materials generalized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82938" y="250031"/>
          <a:ext cx="8599713" cy="4159610"/>
        </a:xfrm>
        <a:prstGeom prst="rect">
          <a:avLst/>
        </a:prstGeom>
        <a:noFill/>
        <a:ln w="2540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11134</xdr:colOff>
      <xdr:row>1</xdr:row>
      <xdr:rowOff>16080</xdr:rowOff>
    </xdr:from>
    <xdr:to>
      <xdr:col>24</xdr:col>
      <xdr:colOff>649741</xdr:colOff>
      <xdr:row>2</xdr:row>
      <xdr:rowOff>404812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1418572" y="266111"/>
          <a:ext cx="2019732" cy="841170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>
              <a:latin typeface="GE Inspira" panose="020F0603030400020203" pitchFamily="34" charset="0"/>
            </a:rPr>
            <a:t>Brittle:</a:t>
          </a:r>
        </a:p>
        <a:p>
          <a:r>
            <a:rPr lang="en-US" sz="1200" b="1" u="none">
              <a:latin typeface="GE Inspira" panose="020F0603030400020203" pitchFamily="34" charset="0"/>
            </a:rPr>
            <a:t>Cast iron</a:t>
          </a:r>
        </a:p>
        <a:p>
          <a:r>
            <a:rPr lang="en-US" sz="1200" b="1" u="none">
              <a:latin typeface="GE Inspira" panose="020F0603030400020203" pitchFamily="34" charset="0"/>
            </a:rPr>
            <a:t>Ceramics</a:t>
          </a:r>
        </a:p>
        <a:p>
          <a:r>
            <a:rPr lang="en-US" sz="1200" b="1" u="none">
              <a:latin typeface="GE Inspira" panose="020F0603030400020203" pitchFamily="34" charset="0"/>
            </a:rPr>
            <a:t>Glass</a:t>
          </a:r>
        </a:p>
      </xdr:txBody>
    </xdr:sp>
    <xdr:clientData/>
  </xdr:twoCellAnchor>
  <xdr:twoCellAnchor>
    <xdr:from>
      <xdr:col>21</xdr:col>
      <xdr:colOff>307862</xdr:colOff>
      <xdr:row>3</xdr:row>
      <xdr:rowOff>312962</xdr:rowOff>
    </xdr:from>
    <xdr:to>
      <xdr:col>24</xdr:col>
      <xdr:colOff>255907</xdr:colOff>
      <xdr:row>8</xdr:row>
      <xdr:rowOff>8501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21024737" y="1467868"/>
          <a:ext cx="2019733" cy="957602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>
              <a:latin typeface="GE Inspira" panose="020F0603030400020203" pitchFamily="34" charset="0"/>
            </a:rPr>
            <a:t>Tough:</a:t>
          </a:r>
        </a:p>
        <a:p>
          <a:r>
            <a:rPr lang="en-US" sz="1200" b="1" u="none">
              <a:latin typeface="GE Inspira" panose="020F0603030400020203" pitchFamily="34" charset="0"/>
            </a:rPr>
            <a:t>Kevlar</a:t>
          </a:r>
        </a:p>
        <a:p>
          <a:r>
            <a:rPr lang="en-US" sz="1200" b="1" u="none">
              <a:latin typeface="GE Inspira" panose="020F0603030400020203" pitchFamily="34" charset="0"/>
            </a:rPr>
            <a:t>Steels</a:t>
          </a:r>
        </a:p>
        <a:p>
          <a:r>
            <a:rPr lang="en-US" sz="1200" b="1" u="none">
              <a:latin typeface="GE Inspira" panose="020F0603030400020203" pitchFamily="34" charset="0"/>
            </a:rPr>
            <a:t>Alloys (Al,</a:t>
          </a:r>
          <a:r>
            <a:rPr lang="en-US" sz="1200" b="1" u="none" baseline="0">
              <a:latin typeface="GE Inspira" panose="020F0603030400020203" pitchFamily="34" charset="0"/>
            </a:rPr>
            <a:t> Ti, etc.)</a:t>
          </a:r>
          <a:endParaRPr lang="en-US" sz="1200" b="1" u="none">
            <a:latin typeface="GE Inspira" panose="020F0603030400020203" pitchFamily="34" charset="0"/>
          </a:endParaRPr>
        </a:p>
      </xdr:txBody>
    </xdr:sp>
    <xdr:clientData/>
  </xdr:twoCellAnchor>
  <xdr:twoCellAnchor>
    <xdr:from>
      <xdr:col>22</xdr:col>
      <xdr:colOff>138237</xdr:colOff>
      <xdr:row>11</xdr:row>
      <xdr:rowOff>105144</xdr:rowOff>
    </xdr:from>
    <xdr:to>
      <xdr:col>25</xdr:col>
      <xdr:colOff>86282</xdr:colOff>
      <xdr:row>16</xdr:row>
      <xdr:rowOff>50715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21545675" y="3129332"/>
          <a:ext cx="2019732" cy="957602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>
              <a:latin typeface="GE Inspira" panose="020F0603030400020203" pitchFamily="34" charset="0"/>
            </a:rPr>
            <a:t>Ductile:</a:t>
          </a:r>
        </a:p>
        <a:p>
          <a:r>
            <a:rPr lang="en-US" sz="1200" b="1" u="none">
              <a:latin typeface="GE Inspira" panose="020F0603030400020203" pitchFamily="34" charset="0"/>
            </a:rPr>
            <a:t>Plastics</a:t>
          </a:r>
        </a:p>
        <a:p>
          <a:r>
            <a:rPr lang="en-US" sz="1200" b="1" u="none">
              <a:latin typeface="GE Inspira" panose="020F0603030400020203" pitchFamily="34" charset="0"/>
            </a:rPr>
            <a:t>Copper</a:t>
          </a:r>
        </a:p>
        <a:p>
          <a:r>
            <a:rPr lang="en-US" sz="1200" b="1" u="none">
              <a:latin typeface="GE Inspira" panose="020F0603030400020203" pitchFamily="34" charset="0"/>
            </a:rPr>
            <a:t>Solder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1138237</xdr:colOff>
      <xdr:row>11</xdr:row>
      <xdr:rowOff>23812</xdr:rowOff>
    </xdr:from>
    <xdr:to>
      <xdr:col>11</xdr:col>
      <xdr:colOff>357187</xdr:colOff>
      <xdr:row>27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557212</xdr:colOff>
      <xdr:row>13</xdr:row>
      <xdr:rowOff>80962</xdr:rowOff>
    </xdr:from>
    <xdr:to>
      <xdr:col>13</xdr:col>
      <xdr:colOff>328612</xdr:colOff>
      <xdr:row>29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12594014/Desktop/DfR/GE%20DFR%20Processes/General%20GE/Copy%20of%20Equivalent%20Damage%20Calcula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PowerLaw"/>
      <sheetName val="Arrhenius"/>
    </sheetNames>
    <sheetDataSet>
      <sheetData sheetId="0">
        <row r="12">
          <cell r="I12" t="str">
            <v>Strngth</v>
          </cell>
        </row>
        <row r="13">
          <cell r="H13">
            <v>1000</v>
          </cell>
          <cell r="I13">
            <v>100</v>
          </cell>
        </row>
        <row r="14">
          <cell r="H14">
            <v>1000000</v>
          </cell>
          <cell r="I14">
            <v>42.169621589183002</v>
          </cell>
        </row>
      </sheetData>
      <sheetData sheetId="1">
        <row r="24">
          <cell r="I24">
            <v>273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Visio_Drawing.vsdx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workbookViewId="0">
      <selection activeCell="H32" sqref="H32"/>
    </sheetView>
  </sheetViews>
  <sheetFormatPr defaultRowHeight="15"/>
  <sheetData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1027" r:id="rId3">
          <objectPr defaultSiz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14</xdr:col>
                <xdr:colOff>142875</xdr:colOff>
                <xdr:row>28</xdr:row>
                <xdr:rowOff>47625</xdr:rowOff>
              </to>
            </anchor>
          </objectPr>
        </oleObject>
      </mc:Choice>
      <mc:Fallback>
        <oleObject progId="Visio.Drawing.15" shapeId="1027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B3:G26"/>
  <sheetViews>
    <sheetView topLeftCell="A4" workbookViewId="0">
      <selection activeCell="F24" sqref="F24"/>
    </sheetView>
  </sheetViews>
  <sheetFormatPr defaultColWidth="9" defaultRowHeight="15.75"/>
  <cols>
    <col min="1" max="1" width="9" style="2"/>
    <col min="2" max="2" width="20.33203125" style="2" customWidth="1"/>
    <col min="3" max="3" width="15.44140625" style="2" customWidth="1"/>
    <col min="4" max="4" width="20.33203125" style="2" customWidth="1"/>
    <col min="5" max="5" width="9" style="2"/>
    <col min="6" max="6" width="22.88671875" style="2" customWidth="1"/>
    <col min="7" max="16384" width="9" style="2"/>
  </cols>
  <sheetData>
    <row r="3" spans="2:7">
      <c r="B3" s="14" t="s">
        <v>32</v>
      </c>
    </row>
    <row r="5" spans="2:7" ht="16.5" thickBot="1">
      <c r="B5" s="1" t="s">
        <v>0</v>
      </c>
      <c r="C5" s="1" t="s">
        <v>1</v>
      </c>
    </row>
    <row r="6" spans="2:7">
      <c r="B6" s="3">
        <f>0</f>
        <v>0</v>
      </c>
      <c r="C6" s="3">
        <f>0.75</f>
        <v>0.75</v>
      </c>
    </row>
    <row r="7" spans="2:7">
      <c r="B7" s="3">
        <v>1</v>
      </c>
      <c r="C7" s="3">
        <f>0.728</f>
        <v>0.72799999999999998</v>
      </c>
    </row>
    <row r="8" spans="2:7">
      <c r="B8" s="3">
        <f>2</f>
        <v>2</v>
      </c>
      <c r="C8" s="3">
        <f>0.723</f>
        <v>0.72299999999999998</v>
      </c>
    </row>
    <row r="9" spans="2:7">
      <c r="B9" s="3">
        <f>10</f>
        <v>10</v>
      </c>
      <c r="C9" s="3">
        <f>0.71</f>
        <v>0.71</v>
      </c>
    </row>
    <row r="10" spans="2:7">
      <c r="B10" s="3"/>
      <c r="C10" s="3"/>
    </row>
    <row r="11" spans="2:7" ht="18.75">
      <c r="C11" s="3" t="s">
        <v>5</v>
      </c>
    </row>
    <row r="12" spans="2:7">
      <c r="B12" s="3"/>
      <c r="C12" s="3"/>
    </row>
    <row r="13" spans="2:7" ht="19.5" thickBot="1">
      <c r="B13" s="4" t="s">
        <v>2</v>
      </c>
      <c r="C13" s="4" t="s">
        <v>3</v>
      </c>
      <c r="D13" s="4" t="s">
        <v>6</v>
      </c>
      <c r="E13" s="4" t="s">
        <v>4</v>
      </c>
      <c r="F13" s="4" t="s">
        <v>7</v>
      </c>
      <c r="G13" s="5"/>
    </row>
    <row r="14" spans="2:7">
      <c r="B14" s="5">
        <f t="shared" ref="B14:C17" si="0">B6</f>
        <v>0</v>
      </c>
      <c r="C14" s="5">
        <f t="shared" si="0"/>
        <v>0.75</v>
      </c>
      <c r="D14" s="5">
        <f>($C$14-$C14)/$C$14</f>
        <v>0</v>
      </c>
      <c r="E14" s="5" t="e">
        <f>LN(B6)</f>
        <v>#NUM!</v>
      </c>
      <c r="F14" s="5" t="e">
        <f>LN(D14)</f>
        <v>#NUM!</v>
      </c>
      <c r="G14" s="5"/>
    </row>
    <row r="15" spans="2:7">
      <c r="B15" s="5">
        <f t="shared" si="0"/>
        <v>1</v>
      </c>
      <c r="C15" s="5">
        <f t="shared" si="0"/>
        <v>0.72799999999999998</v>
      </c>
      <c r="D15" s="6">
        <f>($C$14-$C15)/$C$14</f>
        <v>2.9333333333333361E-2</v>
      </c>
      <c r="E15" s="5">
        <f>LN(B7)</f>
        <v>0</v>
      </c>
      <c r="F15" s="5">
        <f>LN(D15)</f>
        <v>-3.5290307531720395</v>
      </c>
      <c r="G15" s="5"/>
    </row>
    <row r="16" spans="2:7">
      <c r="B16" s="5">
        <f t="shared" si="0"/>
        <v>2</v>
      </c>
      <c r="C16" s="5">
        <f t="shared" si="0"/>
        <v>0.72299999999999998</v>
      </c>
      <c r="D16" s="6">
        <f>($C$14-$C16)/$C$14</f>
        <v>3.6000000000000032E-2</v>
      </c>
      <c r="E16" s="5">
        <f>LN(B8)</f>
        <v>0.69314718055994529</v>
      </c>
      <c r="F16" s="5">
        <f>LN(D16)</f>
        <v>-3.324236340526026</v>
      </c>
      <c r="G16" s="5"/>
    </row>
    <row r="17" spans="2:7">
      <c r="B17" s="5">
        <f t="shared" si="0"/>
        <v>10</v>
      </c>
      <c r="C17" s="5">
        <f t="shared" si="0"/>
        <v>0.71</v>
      </c>
      <c r="D17" s="6">
        <f>($C$14-$C17)/$C$14</f>
        <v>5.3333333333333378E-2</v>
      </c>
      <c r="E17" s="5">
        <f>LN(B9)</f>
        <v>2.3025850929940459</v>
      </c>
      <c r="F17" s="5">
        <f>LN(D17)</f>
        <v>-2.9311937524164189</v>
      </c>
      <c r="G17" s="5"/>
    </row>
    <row r="20" spans="2:7">
      <c r="B20" s="2" t="s">
        <v>8</v>
      </c>
    </row>
    <row r="21" spans="2:7">
      <c r="B21" s="2" t="s">
        <v>9</v>
      </c>
    </row>
    <row r="22" spans="2:7">
      <c r="B22" s="2" t="s">
        <v>17</v>
      </c>
      <c r="C22" s="2">
        <f>1/EXP(3.5)</f>
        <v>3.0197383422318504E-2</v>
      </c>
    </row>
    <row r="23" spans="2:7">
      <c r="D23" s="2">
        <f>100^0.25</f>
        <v>3.1622776601683795</v>
      </c>
    </row>
    <row r="24" spans="2:7">
      <c r="D24" s="2">
        <f>D23*0.03</f>
        <v>9.4868329805051388E-2</v>
      </c>
    </row>
    <row r="25" spans="2:7" ht="18.75">
      <c r="B25" s="2" t="s">
        <v>10</v>
      </c>
      <c r="D25" s="2">
        <f>1-D24</f>
        <v>0.90513167019494856</v>
      </c>
    </row>
    <row r="26" spans="2:7" ht="20.25">
      <c r="B26" s="2" t="s">
        <v>11</v>
      </c>
      <c r="D26" s="2">
        <f>D25*C14</f>
        <v>0.67884875264621147</v>
      </c>
      <c r="E26" s="2" t="s">
        <v>12</v>
      </c>
    </row>
  </sheetData>
  <pageMargins left="0.7" right="0.7" top="0.75" bottom="0.75" header="0.3" footer="0.3"/>
  <ignoredErrors>
    <ignoredError sqref="E14:F14" evalError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B2:G27"/>
  <sheetViews>
    <sheetView workbookViewId="0">
      <selection activeCell="G23" sqref="G23"/>
    </sheetView>
  </sheetViews>
  <sheetFormatPr defaultColWidth="9" defaultRowHeight="15.75"/>
  <cols>
    <col min="1" max="1" width="9" style="2"/>
    <col min="2" max="2" width="20.33203125" style="2" customWidth="1"/>
    <col min="3" max="3" width="22.21875" style="2" customWidth="1"/>
    <col min="4" max="4" width="20.33203125" style="2" customWidth="1"/>
    <col min="5" max="5" width="9" style="2"/>
    <col min="6" max="6" width="22.88671875" style="2" customWidth="1"/>
    <col min="7" max="16384" width="9" style="2"/>
  </cols>
  <sheetData>
    <row r="2" spans="2:7">
      <c r="B2" s="14" t="s">
        <v>33</v>
      </c>
    </row>
    <row r="4" spans="2:7" ht="16.5" thickBot="1">
      <c r="B4" s="1" t="s">
        <v>34</v>
      </c>
      <c r="C4" s="1" t="s">
        <v>35</v>
      </c>
    </row>
    <row r="5" spans="2:7">
      <c r="B5" s="3">
        <f>0</f>
        <v>0</v>
      </c>
      <c r="C5" s="3">
        <f>1</f>
        <v>1</v>
      </c>
    </row>
    <row r="6" spans="2:7">
      <c r="B6" s="3">
        <f>100</f>
        <v>100</v>
      </c>
      <c r="C6" s="3">
        <f>2</f>
        <v>2</v>
      </c>
    </row>
    <row r="7" spans="2:7">
      <c r="B7" s="3">
        <f>200</f>
        <v>200</v>
      </c>
      <c r="C7" s="3">
        <f>9</f>
        <v>9</v>
      </c>
    </row>
    <row r="8" spans="2:7">
      <c r="B8" s="3">
        <f>300</f>
        <v>300</v>
      </c>
      <c r="C8" s="3">
        <f>28</f>
        <v>28</v>
      </c>
    </row>
    <row r="9" spans="2:7">
      <c r="B9" s="3"/>
      <c r="C9" s="3"/>
    </row>
    <row r="10" spans="2:7">
      <c r="C10" s="3" t="s">
        <v>39</v>
      </c>
    </row>
    <row r="11" spans="2:7">
      <c r="B11" s="3"/>
      <c r="C11" s="3"/>
    </row>
    <row r="12" spans="2:7" ht="19.5" thickBot="1">
      <c r="B12" s="4" t="s">
        <v>2</v>
      </c>
      <c r="C12" s="4" t="s">
        <v>41</v>
      </c>
      <c r="D12" s="4" t="s">
        <v>42</v>
      </c>
      <c r="E12" s="4" t="s">
        <v>4</v>
      </c>
      <c r="F12" s="4" t="s">
        <v>43</v>
      </c>
      <c r="G12" s="5"/>
    </row>
    <row r="13" spans="2:7">
      <c r="B13" s="5">
        <f t="shared" ref="B13:C16" si="0">B5</f>
        <v>0</v>
      </c>
      <c r="C13" s="5">
        <f t="shared" si="0"/>
        <v>1</v>
      </c>
      <c r="D13" s="5">
        <f>(C13-C13)/C13</f>
        <v>0</v>
      </c>
      <c r="E13" s="5" t="e">
        <f>LN(B5)</f>
        <v>#NUM!</v>
      </c>
      <c r="F13" s="5" t="e">
        <f>LN(D13)</f>
        <v>#NUM!</v>
      </c>
      <c r="G13" s="5"/>
    </row>
    <row r="14" spans="2:7">
      <c r="B14" s="5">
        <f t="shared" si="0"/>
        <v>100</v>
      </c>
      <c r="C14" s="5">
        <f t="shared" si="0"/>
        <v>2</v>
      </c>
      <c r="D14" s="5">
        <f>(C14-C13)/C13</f>
        <v>1</v>
      </c>
      <c r="E14" s="5">
        <f>LN(B6)</f>
        <v>4.6051701859880918</v>
      </c>
      <c r="F14" s="5">
        <f>LN(D14)</f>
        <v>0</v>
      </c>
      <c r="G14" s="5"/>
    </row>
    <row r="15" spans="2:7">
      <c r="B15" s="5">
        <f t="shared" si="0"/>
        <v>200</v>
      </c>
      <c r="C15" s="5">
        <f t="shared" si="0"/>
        <v>9</v>
      </c>
      <c r="D15" s="5">
        <f>(C15-C13)/C13</f>
        <v>8</v>
      </c>
      <c r="E15" s="5">
        <f>LN(B7)</f>
        <v>5.2983173665480363</v>
      </c>
      <c r="F15" s="5">
        <f>LN(D15)</f>
        <v>2.0794415416798357</v>
      </c>
      <c r="G15" s="5"/>
    </row>
    <row r="16" spans="2:7">
      <c r="B16" s="5">
        <f t="shared" si="0"/>
        <v>300</v>
      </c>
      <c r="C16" s="5">
        <f t="shared" si="0"/>
        <v>28</v>
      </c>
      <c r="D16" s="5">
        <f>(C16-C13)/C13</f>
        <v>27</v>
      </c>
      <c r="E16" s="5">
        <f>LN(B8)</f>
        <v>5.7037824746562009</v>
      </c>
      <c r="F16" s="5">
        <f>LN(D16)</f>
        <v>3.2958368660043291</v>
      </c>
      <c r="G16" s="5"/>
    </row>
    <row r="19" spans="2:5">
      <c r="B19" s="3" t="s">
        <v>18</v>
      </c>
      <c r="C19" s="3">
        <f>3</f>
        <v>3</v>
      </c>
    </row>
    <row r="20" spans="2:5">
      <c r="B20" s="3" t="s">
        <v>36</v>
      </c>
      <c r="C20" s="3"/>
    </row>
    <row r="21" spans="2:5">
      <c r="B21" s="3" t="s">
        <v>37</v>
      </c>
      <c r="C21" s="15">
        <f>1/EXP(13.82)</f>
        <v>9.9552062044522962E-7</v>
      </c>
    </row>
    <row r="22" spans="2:5">
      <c r="D22" s="8">
        <f>(500)^C19</f>
        <v>125000000</v>
      </c>
      <c r="E22" s="9"/>
    </row>
    <row r="23" spans="2:5">
      <c r="D23" s="17">
        <f>D22*C21</f>
        <v>124.4400775556537</v>
      </c>
      <c r="E23" s="11"/>
    </row>
    <row r="24" spans="2:5" ht="18.75">
      <c r="B24" s="2" t="s">
        <v>38</v>
      </c>
      <c r="D24" s="10">
        <f>1+D23</f>
        <v>125.4400775556537</v>
      </c>
      <c r="E24" s="11"/>
    </row>
    <row r="25" spans="2:5" ht="18.75">
      <c r="B25" s="2" t="s">
        <v>45</v>
      </c>
      <c r="D25" s="12">
        <f>D24*C5</f>
        <v>125.4400775556537</v>
      </c>
      <c r="E25" s="13" t="s">
        <v>41</v>
      </c>
    </row>
    <row r="27" spans="2:5">
      <c r="B27" s="2" t="s">
        <v>40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B2:G27"/>
  <sheetViews>
    <sheetView workbookViewId="0">
      <selection activeCell="F6" sqref="F6"/>
    </sheetView>
  </sheetViews>
  <sheetFormatPr defaultColWidth="9" defaultRowHeight="15.75"/>
  <cols>
    <col min="1" max="1" width="9" style="2"/>
    <col min="2" max="2" width="20.33203125" style="2" customWidth="1"/>
    <col min="3" max="3" width="15.44140625" style="2" customWidth="1"/>
    <col min="4" max="4" width="20.33203125" style="2" customWidth="1"/>
    <col min="5" max="5" width="9" style="2"/>
    <col min="6" max="6" width="22.88671875" style="2" customWidth="1"/>
    <col min="7" max="16" width="9" style="2"/>
    <col min="17" max="17" width="9.88671875" style="2" bestFit="1" customWidth="1"/>
    <col min="18" max="16384" width="9" style="2"/>
  </cols>
  <sheetData>
    <row r="2" spans="2:7">
      <c r="B2" s="14" t="s">
        <v>33</v>
      </c>
    </row>
    <row r="4" spans="2:7" ht="16.5" thickBot="1">
      <c r="B4" s="1" t="s">
        <v>0</v>
      </c>
      <c r="C4" s="1" t="s">
        <v>1</v>
      </c>
    </row>
    <row r="5" spans="2:7">
      <c r="B5" s="3">
        <f>0</f>
        <v>0</v>
      </c>
      <c r="C5" s="3">
        <f>0.4</f>
        <v>0.4</v>
      </c>
    </row>
    <row r="6" spans="2:7">
      <c r="B6" s="3">
        <v>1</v>
      </c>
      <c r="C6" s="3">
        <f>0.42</f>
        <v>0.42</v>
      </c>
    </row>
    <row r="7" spans="2:7">
      <c r="B7" s="3">
        <f>10</f>
        <v>10</v>
      </c>
      <c r="C7" s="3">
        <f>0.44</f>
        <v>0.44</v>
      </c>
    </row>
    <row r="8" spans="2:7">
      <c r="B8" s="3">
        <f>100</f>
        <v>100</v>
      </c>
      <c r="C8" s="3">
        <f>0.48</f>
        <v>0.48</v>
      </c>
    </row>
    <row r="9" spans="2:7">
      <c r="B9" s="3"/>
      <c r="C9" s="3"/>
    </row>
    <row r="10" spans="2:7" ht="18.75">
      <c r="C10" s="3" t="s">
        <v>13</v>
      </c>
    </row>
    <row r="11" spans="2:7">
      <c r="B11" s="3"/>
      <c r="C11" s="3"/>
    </row>
    <row r="12" spans="2:7" ht="19.5" thickBot="1">
      <c r="B12" s="4" t="s">
        <v>2</v>
      </c>
      <c r="C12" s="4" t="s">
        <v>3</v>
      </c>
      <c r="D12" s="4" t="s">
        <v>6</v>
      </c>
      <c r="E12" s="4" t="s">
        <v>4</v>
      </c>
      <c r="F12" s="4" t="s">
        <v>7</v>
      </c>
      <c r="G12" s="5"/>
    </row>
    <row r="13" spans="2:7">
      <c r="B13" s="5">
        <f t="shared" ref="B13:C16" si="0">B5</f>
        <v>0</v>
      </c>
      <c r="C13" s="5">
        <f t="shared" si="0"/>
        <v>0.4</v>
      </c>
      <c r="D13" s="5">
        <f>(C13-C13)/C13</f>
        <v>0</v>
      </c>
      <c r="E13" s="5" t="e">
        <f>LN(B5)</f>
        <v>#NUM!</v>
      </c>
      <c r="F13" s="5" t="e">
        <f>LN(D13)</f>
        <v>#NUM!</v>
      </c>
      <c r="G13" s="5"/>
    </row>
    <row r="14" spans="2:7">
      <c r="B14" s="5">
        <f t="shared" si="0"/>
        <v>1</v>
      </c>
      <c r="C14" s="5">
        <f t="shared" si="0"/>
        <v>0.42</v>
      </c>
      <c r="D14" s="5">
        <f>(C14-C13)/C13</f>
        <v>4.9999999999999906E-2</v>
      </c>
      <c r="E14" s="5">
        <f>LN(B6)</f>
        <v>0</v>
      </c>
      <c r="F14" s="5">
        <f>LN(D14)</f>
        <v>-2.9957322735539931</v>
      </c>
      <c r="G14" s="5"/>
    </row>
    <row r="15" spans="2:7">
      <c r="B15" s="5">
        <f t="shared" si="0"/>
        <v>10</v>
      </c>
      <c r="C15" s="5">
        <f t="shared" si="0"/>
        <v>0.44</v>
      </c>
      <c r="D15" s="5">
        <f>(C15-C13)/C13</f>
        <v>9.999999999999995E-2</v>
      </c>
      <c r="E15" s="5">
        <f>LN(B7)</f>
        <v>2.3025850929940459</v>
      </c>
      <c r="F15" s="5">
        <f>LN(D15)</f>
        <v>-2.3025850929940463</v>
      </c>
      <c r="G15" s="5"/>
    </row>
    <row r="16" spans="2:7">
      <c r="B16" s="5">
        <f t="shared" si="0"/>
        <v>100</v>
      </c>
      <c r="C16" s="5">
        <f t="shared" si="0"/>
        <v>0.48</v>
      </c>
      <c r="D16" s="5">
        <f>(C16-C13)/C13</f>
        <v>0.1999999999999999</v>
      </c>
      <c r="E16" s="5">
        <f>LN(B8)</f>
        <v>4.6051701859880918</v>
      </c>
      <c r="F16" s="5">
        <f>LN(D16)</f>
        <v>-1.6094379124341009</v>
      </c>
      <c r="G16" s="5"/>
    </row>
    <row r="19" spans="2:5">
      <c r="B19" s="3" t="s">
        <v>18</v>
      </c>
      <c r="C19" s="3">
        <f>0.3</f>
        <v>0.3</v>
      </c>
    </row>
    <row r="20" spans="2:5">
      <c r="B20" s="3" t="s">
        <v>14</v>
      </c>
      <c r="C20" s="3"/>
    </row>
    <row r="21" spans="2:5">
      <c r="B21" s="3" t="s">
        <v>15</v>
      </c>
      <c r="C21" s="7">
        <f>1/EXP(3)</f>
        <v>4.9787068367863944E-2</v>
      </c>
    </row>
    <row r="22" spans="2:5">
      <c r="D22" s="8">
        <f>(1000)^C19</f>
        <v>7.943282347242814</v>
      </c>
      <c r="E22" s="9"/>
    </row>
    <row r="23" spans="2:5">
      <c r="D23" s="10">
        <f>D22*0.05</f>
        <v>0.39716411736214075</v>
      </c>
      <c r="E23" s="11"/>
    </row>
    <row r="24" spans="2:5" ht="18.75">
      <c r="B24" s="2" t="s">
        <v>16</v>
      </c>
      <c r="D24" s="10">
        <f>1+D23</f>
        <v>1.3971641173621407</v>
      </c>
      <c r="E24" s="11"/>
    </row>
    <row r="25" spans="2:5" ht="20.25">
      <c r="B25" s="2" t="s">
        <v>19</v>
      </c>
      <c r="D25" s="12">
        <f>D24*C5</f>
        <v>0.5588656469448563</v>
      </c>
      <c r="E25" s="13" t="s">
        <v>12</v>
      </c>
    </row>
    <row r="27" spans="2:5">
      <c r="B27" s="2" t="s">
        <v>31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27"/>
  <sheetViews>
    <sheetView topLeftCell="A7" workbookViewId="0">
      <selection activeCell="O25" sqref="O25"/>
    </sheetView>
  </sheetViews>
  <sheetFormatPr defaultColWidth="9" defaultRowHeight="15.75"/>
  <cols>
    <col min="1" max="1" width="9" style="2"/>
    <col min="2" max="2" width="20.33203125" style="2" customWidth="1"/>
    <col min="3" max="3" width="15.44140625" style="2" customWidth="1"/>
    <col min="4" max="4" width="20.33203125" style="2" customWidth="1"/>
    <col min="5" max="5" width="9" style="2"/>
    <col min="6" max="6" width="22.88671875" style="2" customWidth="1"/>
    <col min="7" max="16384" width="9" style="2"/>
  </cols>
  <sheetData>
    <row r="2" spans="2:7">
      <c r="B2" s="14" t="s">
        <v>32</v>
      </c>
    </row>
    <row r="3" spans="2:7">
      <c r="B3" s="14"/>
    </row>
    <row r="4" spans="2:7" ht="19.5" thickBot="1">
      <c r="B4" s="1" t="s">
        <v>20</v>
      </c>
      <c r="C4" s="1" t="s">
        <v>21</v>
      </c>
    </row>
    <row r="5" spans="2:7">
      <c r="B5" s="3">
        <f>0</f>
        <v>0</v>
      </c>
      <c r="C5" s="3">
        <f>32</f>
        <v>32</v>
      </c>
    </row>
    <row r="6" spans="2:7">
      <c r="B6" s="3">
        <f>1</f>
        <v>1</v>
      </c>
      <c r="C6" s="3">
        <f>30.72</f>
        <v>30.72</v>
      </c>
    </row>
    <row r="7" spans="2:7">
      <c r="B7" s="3">
        <f>2</f>
        <v>2</v>
      </c>
      <c r="C7" s="3">
        <f>30.06</f>
        <v>30.06</v>
      </c>
    </row>
    <row r="8" spans="2:7">
      <c r="B8" s="3">
        <f>3</f>
        <v>3</v>
      </c>
      <c r="C8" s="3">
        <f>29.53</f>
        <v>29.53</v>
      </c>
    </row>
    <row r="9" spans="2:7">
      <c r="B9" s="3"/>
      <c r="C9" s="3"/>
    </row>
    <row r="10" spans="2:7" ht="18.75">
      <c r="C10" s="3" t="s">
        <v>24</v>
      </c>
    </row>
    <row r="11" spans="2:7">
      <c r="B11" s="3"/>
      <c r="C11" s="3"/>
    </row>
    <row r="12" spans="2:7" ht="19.5" thickBot="1">
      <c r="B12" s="4" t="s">
        <v>2</v>
      </c>
      <c r="C12" s="4" t="s">
        <v>25</v>
      </c>
      <c r="D12" s="4" t="s">
        <v>26</v>
      </c>
      <c r="E12" s="4" t="s">
        <v>4</v>
      </c>
      <c r="F12" s="4" t="s">
        <v>27</v>
      </c>
      <c r="G12" s="5"/>
    </row>
    <row r="13" spans="2:7">
      <c r="B13" s="5">
        <f t="shared" ref="B13:C16" si="0">B5</f>
        <v>0</v>
      </c>
      <c r="C13" s="5">
        <f t="shared" si="0"/>
        <v>32</v>
      </c>
      <c r="D13" s="5">
        <f>($C$13-$C13)/$C$13</f>
        <v>0</v>
      </c>
      <c r="E13" s="5" t="e">
        <f>LN(B5)</f>
        <v>#NUM!</v>
      </c>
      <c r="F13" s="5" t="e">
        <f>LN(D13)</f>
        <v>#NUM!</v>
      </c>
      <c r="G13" s="5"/>
    </row>
    <row r="14" spans="2:7">
      <c r="B14" s="5">
        <f t="shared" si="0"/>
        <v>1</v>
      </c>
      <c r="C14" s="5">
        <f t="shared" si="0"/>
        <v>30.72</v>
      </c>
      <c r="D14" s="6">
        <f>($C$13-$C14)/$C$13</f>
        <v>4.0000000000000036E-2</v>
      </c>
      <c r="E14" s="5">
        <f>LN(B6)</f>
        <v>0</v>
      </c>
      <c r="F14" s="5">
        <f>LN(D14)</f>
        <v>-3.2188758248681997</v>
      </c>
      <c r="G14" s="5"/>
    </row>
    <row r="15" spans="2:7">
      <c r="B15" s="5">
        <f t="shared" si="0"/>
        <v>2</v>
      </c>
      <c r="C15" s="5">
        <f t="shared" si="0"/>
        <v>30.06</v>
      </c>
      <c r="D15" s="6">
        <f>($C$13-$C15)/$C$13</f>
        <v>6.062500000000004E-2</v>
      </c>
      <c r="E15" s="5">
        <f>LN(B7)</f>
        <v>0.69314718055994529</v>
      </c>
      <c r="F15" s="5">
        <f>LN(D15)</f>
        <v>-2.8030479297244892</v>
      </c>
      <c r="G15" s="5"/>
    </row>
    <row r="16" spans="2:7">
      <c r="B16" s="5">
        <f t="shared" si="0"/>
        <v>3</v>
      </c>
      <c r="C16" s="5">
        <f t="shared" si="0"/>
        <v>29.53</v>
      </c>
      <c r="D16" s="6">
        <f>($C$13-$C16)/$C$13</f>
        <v>7.7187499999999964E-2</v>
      </c>
      <c r="E16" s="5">
        <f>LN(B8)</f>
        <v>1.0986122886681098</v>
      </c>
      <c r="F16" s="5">
        <f>LN(D16)</f>
        <v>-2.5615177521598413</v>
      </c>
      <c r="G16" s="5"/>
    </row>
    <row r="19" spans="2:5">
      <c r="B19" s="2" t="s">
        <v>22</v>
      </c>
    </row>
    <row r="20" spans="2:5">
      <c r="B20" s="2" t="s">
        <v>28</v>
      </c>
      <c r="C20" s="3">
        <v>-3.2</v>
      </c>
    </row>
    <row r="21" spans="2:5">
      <c r="B21" s="2" t="s">
        <v>23</v>
      </c>
      <c r="C21" s="2">
        <f>1/EXP(3.2)</f>
        <v>4.0762203978366211E-2</v>
      </c>
    </row>
    <row r="22" spans="2:5">
      <c r="D22" s="2">
        <f>10^0.6</f>
        <v>3.9810717055349727</v>
      </c>
    </row>
    <row r="23" spans="2:5">
      <c r="D23" s="2">
        <f>D22*0.04</f>
        <v>0.15924286822139891</v>
      </c>
    </row>
    <row r="24" spans="2:5" ht="18.75">
      <c r="B24" s="2" t="s">
        <v>29</v>
      </c>
      <c r="D24" s="2">
        <f>1-D23</f>
        <v>0.84075713177860112</v>
      </c>
    </row>
    <row r="25" spans="2:5" ht="20.25">
      <c r="B25" s="2" t="s">
        <v>30</v>
      </c>
      <c r="D25" s="2">
        <f>D24*C13</f>
        <v>26.904228216915236</v>
      </c>
      <c r="E25" s="16" t="s">
        <v>44</v>
      </c>
    </row>
    <row r="27" spans="2:5">
      <c r="B27" s="2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B2:G27"/>
  <sheetViews>
    <sheetView tabSelected="1" view="pageLayout" zoomScaleNormal="100" workbookViewId="0">
      <selection activeCell="E3" sqref="E3"/>
    </sheetView>
  </sheetViews>
  <sheetFormatPr defaultColWidth="9" defaultRowHeight="12.75"/>
  <cols>
    <col min="1" max="1" width="9" style="120"/>
    <col min="2" max="2" width="20.33203125" style="120" customWidth="1"/>
    <col min="3" max="3" width="15.44140625" style="120" customWidth="1"/>
    <col min="4" max="4" width="20.33203125" style="120" customWidth="1"/>
    <col min="5" max="5" width="12.88671875" style="120" bestFit="1" customWidth="1"/>
    <col min="6" max="6" width="22.88671875" style="120" customWidth="1"/>
    <col min="7" max="16384" width="9" style="120"/>
  </cols>
  <sheetData>
    <row r="2" spans="2:7">
      <c r="B2" s="119" t="s">
        <v>33</v>
      </c>
    </row>
    <row r="4" spans="2:7" ht="13.5" thickBot="1">
      <c r="B4" s="121" t="s">
        <v>0</v>
      </c>
      <c r="C4" s="121" t="s">
        <v>46</v>
      </c>
    </row>
    <row r="5" spans="2:7">
      <c r="B5" s="122">
        <f>0</f>
        <v>0</v>
      </c>
      <c r="C5" s="122">
        <f>10</f>
        <v>10</v>
      </c>
    </row>
    <row r="6" spans="2:7">
      <c r="B6" s="122">
        <v>1</v>
      </c>
      <c r="C6" s="122">
        <f>10.02</f>
        <v>10.02</v>
      </c>
    </row>
    <row r="7" spans="2:7">
      <c r="B7" s="122">
        <f>5</f>
        <v>5</v>
      </c>
      <c r="C7" s="122">
        <f>10.22</f>
        <v>10.220000000000001</v>
      </c>
    </row>
    <row r="8" spans="2:7">
      <c r="B8" s="122">
        <f>10</f>
        <v>10</v>
      </c>
      <c r="C8" s="122">
        <f>10.63</f>
        <v>10.63</v>
      </c>
    </row>
    <row r="9" spans="2:7">
      <c r="B9" s="122"/>
      <c r="C9" s="122"/>
    </row>
    <row r="10" spans="2:7">
      <c r="C10" s="122"/>
    </row>
    <row r="11" spans="2:7">
      <c r="B11" s="122"/>
      <c r="C11" s="122"/>
    </row>
    <row r="12" spans="2:7" ht="16.5" thickBot="1">
      <c r="B12" s="123" t="s">
        <v>2</v>
      </c>
      <c r="C12" s="123" t="s">
        <v>49</v>
      </c>
      <c r="D12" s="123" t="s">
        <v>200</v>
      </c>
      <c r="E12" s="123" t="s">
        <v>4</v>
      </c>
      <c r="F12" s="123" t="s">
        <v>201</v>
      </c>
      <c r="G12" s="124"/>
    </row>
    <row r="13" spans="2:7">
      <c r="B13" s="124">
        <f t="shared" ref="B13:C16" si="0">B5</f>
        <v>0</v>
      </c>
      <c r="C13" s="124">
        <f t="shared" si="0"/>
        <v>10</v>
      </c>
      <c r="D13" s="124">
        <f>(C13-C13)/C13</f>
        <v>0</v>
      </c>
      <c r="E13" s="124" t="e">
        <f>LN(B5)</f>
        <v>#NUM!</v>
      </c>
      <c r="F13" s="124" t="e">
        <f>LN(D13)</f>
        <v>#NUM!</v>
      </c>
      <c r="G13" s="124"/>
    </row>
    <row r="14" spans="2:7">
      <c r="B14" s="124">
        <f t="shared" si="0"/>
        <v>1</v>
      </c>
      <c r="C14" s="124">
        <f t="shared" si="0"/>
        <v>10.02</v>
      </c>
      <c r="D14" s="124">
        <f>(C14-C13)/C13</f>
        <v>1.9999999999999575E-3</v>
      </c>
      <c r="E14" s="124">
        <f>LN(B6)</f>
        <v>0</v>
      </c>
      <c r="F14" s="124">
        <f>LN(D14)</f>
        <v>-6.2146080984222127</v>
      </c>
      <c r="G14" s="124"/>
    </row>
    <row r="15" spans="2:7">
      <c r="B15" s="124">
        <f t="shared" si="0"/>
        <v>5</v>
      </c>
      <c r="C15" s="124">
        <f t="shared" si="0"/>
        <v>10.220000000000001</v>
      </c>
      <c r="D15" s="124">
        <f>(C15-C13)/C13</f>
        <v>2.2000000000000065E-2</v>
      </c>
      <c r="E15" s="124">
        <f>LN(B7)</f>
        <v>1.6094379124341003</v>
      </c>
      <c r="F15" s="124">
        <f>LN(D15)</f>
        <v>-3.8167128256238181</v>
      </c>
      <c r="G15" s="124"/>
    </row>
    <row r="16" spans="2:7">
      <c r="B16" s="124">
        <f t="shared" si="0"/>
        <v>10</v>
      </c>
      <c r="C16" s="124">
        <f t="shared" si="0"/>
        <v>10.63</v>
      </c>
      <c r="D16" s="124">
        <f>(C16-C13)/C13</f>
        <v>6.3000000000000084E-2</v>
      </c>
      <c r="E16" s="124">
        <f>LN(B8)</f>
        <v>2.3025850929940459</v>
      </c>
      <c r="F16" s="124">
        <f>LN(D16)</f>
        <v>-2.7646205525906029</v>
      </c>
      <c r="G16" s="124"/>
    </row>
    <row r="19" spans="2:5">
      <c r="B19" s="122" t="s">
        <v>18</v>
      </c>
      <c r="C19" s="122">
        <f>1.5</f>
        <v>1.5</v>
      </c>
    </row>
    <row r="20" spans="2:5">
      <c r="B20" s="122" t="s">
        <v>47</v>
      </c>
      <c r="C20" s="122"/>
    </row>
    <row r="21" spans="2:5">
      <c r="B21" s="122" t="s">
        <v>48</v>
      </c>
      <c r="C21" s="133">
        <f>1/EXP(6.2)</f>
        <v>2.029430636295734E-3</v>
      </c>
    </row>
    <row r="22" spans="2:5">
      <c r="D22" s="126">
        <f>(100)^C19</f>
        <v>1000.0000000000007</v>
      </c>
      <c r="E22" s="127"/>
    </row>
    <row r="23" spans="2:5">
      <c r="D23" s="128">
        <f>D22*C21</f>
        <v>2.0294306362957353</v>
      </c>
      <c r="E23" s="129"/>
    </row>
    <row r="24" spans="2:5" ht="14.25">
      <c r="B24" s="120" t="s">
        <v>202</v>
      </c>
      <c r="D24" s="130">
        <f>1+D23</f>
        <v>3.0294306362957353</v>
      </c>
      <c r="E24" s="129"/>
    </row>
    <row r="25" spans="2:5" ht="15.75">
      <c r="B25" s="120" t="s">
        <v>203</v>
      </c>
      <c r="D25" s="131">
        <f>D24*C13</f>
        <v>30.294306362957354</v>
      </c>
      <c r="E25" s="132" t="s">
        <v>204</v>
      </c>
    </row>
    <row r="27" spans="2:5">
      <c r="B27" s="120" t="s">
        <v>199</v>
      </c>
    </row>
  </sheetData>
  <pageMargins left="0.7" right="0.7" top="0.75" bottom="0.75" header="0.3" footer="0.3"/>
  <pageSetup orientation="portrait" r:id="rId1"/>
  <ignoredErrors>
    <ignoredError sqref="E13:F13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B2:G27"/>
  <sheetViews>
    <sheetView workbookViewId="0">
      <selection activeCell="D14" sqref="D14"/>
    </sheetView>
  </sheetViews>
  <sheetFormatPr defaultColWidth="9" defaultRowHeight="15.75"/>
  <cols>
    <col min="1" max="1" width="9" style="2"/>
    <col min="2" max="2" width="20.33203125" style="2" customWidth="1"/>
    <col min="3" max="3" width="28.21875" style="2" customWidth="1"/>
    <col min="4" max="4" width="20.33203125" style="2" customWidth="1"/>
    <col min="5" max="5" width="9" style="2"/>
    <col min="6" max="6" width="27.44140625" style="2" customWidth="1"/>
    <col min="7" max="16384" width="9" style="2"/>
  </cols>
  <sheetData>
    <row r="2" spans="2:7">
      <c r="B2" s="14" t="s">
        <v>33</v>
      </c>
    </row>
    <row r="4" spans="2:7" ht="19.5" thickBot="1">
      <c r="B4" s="1" t="s">
        <v>0</v>
      </c>
      <c r="C4" s="1" t="s">
        <v>50</v>
      </c>
    </row>
    <row r="5" spans="2:7">
      <c r="B5" s="3">
        <f>0</f>
        <v>0</v>
      </c>
      <c r="C5" s="3">
        <f>1</f>
        <v>1</v>
      </c>
    </row>
    <row r="6" spans="2:7">
      <c r="B6" s="3">
        <v>1</v>
      </c>
      <c r="C6" s="3">
        <f>1.9</f>
        <v>1.9</v>
      </c>
    </row>
    <row r="7" spans="2:7">
      <c r="B7" s="3">
        <f>2</f>
        <v>2</v>
      </c>
      <c r="C7" s="3">
        <f>2.27</f>
        <v>2.27</v>
      </c>
    </row>
    <row r="8" spans="2:7">
      <c r="B8" s="3">
        <f>3</f>
        <v>3</v>
      </c>
      <c r="C8" s="3">
        <f>2.56</f>
        <v>2.56</v>
      </c>
    </row>
    <row r="9" spans="2:7">
      <c r="B9" s="3"/>
      <c r="C9" s="3"/>
    </row>
    <row r="10" spans="2:7">
      <c r="C10" s="3"/>
    </row>
    <row r="11" spans="2:7">
      <c r="B11" s="3"/>
      <c r="C11" s="3"/>
    </row>
    <row r="12" spans="2:7" ht="19.5" thickBot="1">
      <c r="B12" s="4" t="s">
        <v>2</v>
      </c>
      <c r="C12" s="4" t="s">
        <v>51</v>
      </c>
      <c r="D12" s="4" t="s">
        <v>52</v>
      </c>
      <c r="E12" s="4" t="s">
        <v>4</v>
      </c>
      <c r="F12" s="4" t="s">
        <v>53</v>
      </c>
      <c r="G12" s="5"/>
    </row>
    <row r="13" spans="2:7">
      <c r="B13" s="5">
        <f t="shared" ref="B13:C16" si="0">B5</f>
        <v>0</v>
      </c>
      <c r="C13" s="5">
        <f t="shared" si="0"/>
        <v>1</v>
      </c>
      <c r="D13" s="5">
        <f>(C13-C13)/C13</f>
        <v>0</v>
      </c>
      <c r="E13" s="5" t="e">
        <f>LN(B5)</f>
        <v>#NUM!</v>
      </c>
      <c r="F13" s="5" t="e">
        <f>LN(D13)</f>
        <v>#NUM!</v>
      </c>
      <c r="G13" s="5"/>
    </row>
    <row r="14" spans="2:7">
      <c r="B14" s="5">
        <f t="shared" si="0"/>
        <v>1</v>
      </c>
      <c r="C14" s="5">
        <f t="shared" si="0"/>
        <v>1.9</v>
      </c>
      <c r="D14" s="5">
        <f>(C14-C13)/C13</f>
        <v>0.89999999999999991</v>
      </c>
      <c r="E14" s="5">
        <f>LN(B6)</f>
        <v>0</v>
      </c>
      <c r="F14" s="5">
        <f>LN(D14)</f>
        <v>-0.10536051565782641</v>
      </c>
      <c r="G14" s="5"/>
    </row>
    <row r="15" spans="2:7">
      <c r="B15" s="5">
        <f t="shared" si="0"/>
        <v>2</v>
      </c>
      <c r="C15" s="5">
        <f t="shared" si="0"/>
        <v>2.27</v>
      </c>
      <c r="D15" s="5">
        <f>(C15-C13)/C13</f>
        <v>1.27</v>
      </c>
      <c r="E15" s="5">
        <f>LN(B7)</f>
        <v>0.69314718055994529</v>
      </c>
      <c r="F15" s="5">
        <f>LN(D15)</f>
        <v>0.23901690047049992</v>
      </c>
      <c r="G15" s="5"/>
    </row>
    <row r="16" spans="2:7">
      <c r="B16" s="5">
        <f t="shared" si="0"/>
        <v>3</v>
      </c>
      <c r="C16" s="5">
        <f t="shared" si="0"/>
        <v>2.56</v>
      </c>
      <c r="D16" s="5">
        <f>(C16-C13)/C13</f>
        <v>1.56</v>
      </c>
      <c r="E16" s="5">
        <f>LN(B8)</f>
        <v>1.0986122886681098</v>
      </c>
      <c r="F16" s="5">
        <f>LN(D16)</f>
        <v>0.44468582126144574</v>
      </c>
      <c r="G16" s="5"/>
    </row>
    <row r="19" spans="2:7">
      <c r="B19" s="3" t="s">
        <v>18</v>
      </c>
      <c r="C19" s="3">
        <f>0.5</f>
        <v>0.5</v>
      </c>
    </row>
    <row r="20" spans="2:7">
      <c r="B20" s="3" t="s">
        <v>54</v>
      </c>
      <c r="C20" s="3"/>
    </row>
    <row r="21" spans="2:7">
      <c r="B21" s="3" t="s">
        <v>55</v>
      </c>
      <c r="C21" s="19">
        <f>1/EXP(0.106)</f>
        <v>0.89942464807592404</v>
      </c>
    </row>
    <row r="22" spans="2:7">
      <c r="D22" s="8">
        <f>(10)^C19</f>
        <v>3.1622776601683795</v>
      </c>
      <c r="E22" s="9"/>
      <c r="G22" s="2">
        <f>27-0.3</f>
        <v>26.7</v>
      </c>
    </row>
    <row r="23" spans="2:7">
      <c r="D23" s="18">
        <f>D22*C21</f>
        <v>2.8442304716153011</v>
      </c>
      <c r="E23" s="11"/>
      <c r="G23" s="2">
        <f>132+0.4</f>
        <v>132.4</v>
      </c>
    </row>
    <row r="24" spans="2:7" ht="20.25">
      <c r="B24" s="2" t="s">
        <v>56</v>
      </c>
      <c r="D24" s="10">
        <f>1+D23</f>
        <v>3.8442304716153011</v>
      </c>
      <c r="E24" s="11"/>
      <c r="G24" s="2">
        <f>G22/G23</f>
        <v>0.20166163141993956</v>
      </c>
    </row>
    <row r="25" spans="2:7" ht="20.25">
      <c r="B25" s="2" t="s">
        <v>57</v>
      </c>
      <c r="D25" s="12">
        <f>D24*C13</f>
        <v>3.8442304716153011</v>
      </c>
      <c r="E25" s="20" t="s">
        <v>58</v>
      </c>
    </row>
    <row r="27" spans="2:7">
      <c r="B27" s="2" t="s">
        <v>59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B2:G27"/>
  <sheetViews>
    <sheetView zoomScale="115" zoomScaleNormal="115" workbookViewId="0">
      <selection activeCell="D7" sqref="D7"/>
    </sheetView>
  </sheetViews>
  <sheetFormatPr defaultColWidth="9" defaultRowHeight="12.75"/>
  <cols>
    <col min="1" max="1" width="9" style="120"/>
    <col min="2" max="2" width="20.33203125" style="120" customWidth="1"/>
    <col min="3" max="3" width="28.21875" style="120" customWidth="1"/>
    <col min="4" max="4" width="20.33203125" style="120" customWidth="1"/>
    <col min="5" max="5" width="12.88671875" style="120" bestFit="1" customWidth="1"/>
    <col min="6" max="6" width="27.44140625" style="120" customWidth="1"/>
    <col min="7" max="7" width="9.109375" style="120" bestFit="1" customWidth="1"/>
    <col min="8" max="16384" width="9" style="120"/>
  </cols>
  <sheetData>
    <row r="2" spans="2:7">
      <c r="B2" s="119" t="s">
        <v>33</v>
      </c>
    </row>
    <row r="4" spans="2:7" ht="13.5" thickBot="1">
      <c r="B4" s="121" t="s">
        <v>0</v>
      </c>
      <c r="C4" s="121" t="s">
        <v>60</v>
      </c>
    </row>
    <row r="5" spans="2:7">
      <c r="B5" s="122">
        <f>0</f>
        <v>0</v>
      </c>
      <c r="C5" s="122">
        <f>1</f>
        <v>1</v>
      </c>
    </row>
    <row r="6" spans="2:7">
      <c r="B6" s="122">
        <v>1</v>
      </c>
      <c r="C6" s="122">
        <f>1.1</f>
        <v>1.1000000000000001</v>
      </c>
    </row>
    <row r="7" spans="2:7">
      <c r="B7" s="122">
        <f>2</f>
        <v>2</v>
      </c>
      <c r="C7" s="122">
        <f>1.4</f>
        <v>1.4</v>
      </c>
    </row>
    <row r="8" spans="2:7">
      <c r="B8" s="122">
        <f>3</f>
        <v>3</v>
      </c>
      <c r="C8" s="122">
        <f>1.9</f>
        <v>1.9</v>
      </c>
    </row>
    <row r="9" spans="2:7">
      <c r="B9" s="122"/>
      <c r="C9" s="122"/>
    </row>
    <row r="10" spans="2:7">
      <c r="C10" s="122"/>
    </row>
    <row r="11" spans="2:7">
      <c r="B11" s="122"/>
      <c r="C11" s="122"/>
    </row>
    <row r="12" spans="2:7" ht="16.5" thickBot="1">
      <c r="B12" s="123" t="s">
        <v>2</v>
      </c>
      <c r="C12" s="123" t="s">
        <v>60</v>
      </c>
      <c r="D12" s="123" t="s">
        <v>194</v>
      </c>
      <c r="E12" s="123" t="s">
        <v>4</v>
      </c>
      <c r="F12" s="123" t="s">
        <v>195</v>
      </c>
      <c r="G12" s="124"/>
    </row>
    <row r="13" spans="2:7">
      <c r="B13" s="124">
        <f t="shared" ref="B13:C16" si="0">B5</f>
        <v>0</v>
      </c>
      <c r="C13" s="124">
        <f t="shared" si="0"/>
        <v>1</v>
      </c>
      <c r="D13" s="124">
        <f>(C13-C13)/C13</f>
        <v>0</v>
      </c>
      <c r="E13" s="124" t="e">
        <f>LN(B5)</f>
        <v>#NUM!</v>
      </c>
      <c r="F13" s="124" t="e">
        <f>LN(D13)</f>
        <v>#NUM!</v>
      </c>
      <c r="G13" s="124"/>
    </row>
    <row r="14" spans="2:7">
      <c r="B14" s="124">
        <f t="shared" si="0"/>
        <v>1</v>
      </c>
      <c r="C14" s="124">
        <f t="shared" si="0"/>
        <v>1.1000000000000001</v>
      </c>
      <c r="D14" s="124">
        <f>(C14-C13)/C13</f>
        <v>0.10000000000000009</v>
      </c>
      <c r="E14" s="124">
        <f>LN(B6)</f>
        <v>0</v>
      </c>
      <c r="F14" s="124">
        <f>LN(D14)</f>
        <v>-2.302585092994045</v>
      </c>
      <c r="G14" s="124"/>
    </row>
    <row r="15" spans="2:7">
      <c r="B15" s="124">
        <f t="shared" si="0"/>
        <v>2</v>
      </c>
      <c r="C15" s="124">
        <f t="shared" si="0"/>
        <v>1.4</v>
      </c>
      <c r="D15" s="124">
        <f>(C15-C13)/C13</f>
        <v>0.39999999999999991</v>
      </c>
      <c r="E15" s="124">
        <f>LN(B7)</f>
        <v>0.69314718055994529</v>
      </c>
      <c r="F15" s="124">
        <f>LN(D15)</f>
        <v>-0.91629073187415533</v>
      </c>
      <c r="G15" s="124"/>
    </row>
    <row r="16" spans="2:7">
      <c r="B16" s="124">
        <f t="shared" si="0"/>
        <v>3</v>
      </c>
      <c r="C16" s="124">
        <f t="shared" si="0"/>
        <v>1.9</v>
      </c>
      <c r="D16" s="124">
        <f>(C16-C13)/C13</f>
        <v>0.89999999999999991</v>
      </c>
      <c r="E16" s="124">
        <f>LN(B8)</f>
        <v>1.0986122886681098</v>
      </c>
      <c r="F16" s="124">
        <f>LN(D16)</f>
        <v>-0.10536051565782641</v>
      </c>
      <c r="G16" s="124"/>
    </row>
    <row r="19" spans="2:7">
      <c r="B19" s="122" t="s">
        <v>18</v>
      </c>
      <c r="C19" s="122">
        <f>2</f>
        <v>2</v>
      </c>
    </row>
    <row r="20" spans="2:7">
      <c r="B20" s="122" t="s">
        <v>61</v>
      </c>
      <c r="C20" s="122"/>
    </row>
    <row r="21" spans="2:7">
      <c r="B21" s="122" t="s">
        <v>62</v>
      </c>
      <c r="C21" s="125">
        <f>1/EXP(2.3026)</f>
        <v>9.9998509310515446E-2</v>
      </c>
    </row>
    <row r="22" spans="2:7">
      <c r="D22" s="126">
        <f>(10)^C19</f>
        <v>100</v>
      </c>
      <c r="E22" s="127"/>
      <c r="G22" s="120">
        <f>27-0.3</f>
        <v>26.7</v>
      </c>
    </row>
    <row r="23" spans="2:7">
      <c r="D23" s="128">
        <f>D22*C21</f>
        <v>9.9998509310515438</v>
      </c>
      <c r="E23" s="129"/>
      <c r="G23" s="120">
        <f>132+0.4</f>
        <v>132.4</v>
      </c>
    </row>
    <row r="24" spans="2:7" ht="14.25">
      <c r="B24" s="120" t="s">
        <v>196</v>
      </c>
      <c r="D24" s="130">
        <f>1+D23</f>
        <v>10.999850931051544</v>
      </c>
      <c r="E24" s="129"/>
      <c r="G24" s="120">
        <f>G22/G23</f>
        <v>0.20166163141993956</v>
      </c>
    </row>
    <row r="25" spans="2:7" ht="15.75">
      <c r="B25" s="120" t="s">
        <v>197</v>
      </c>
      <c r="D25" s="131">
        <f>D24*C13</f>
        <v>10.999850931051544</v>
      </c>
      <c r="E25" s="132" t="s">
        <v>198</v>
      </c>
    </row>
    <row r="27" spans="2:7">
      <c r="B27" s="120" t="s">
        <v>193</v>
      </c>
    </row>
  </sheetData>
  <pageMargins left="0.7" right="0.7" top="0.75" bottom="0.75" header="0.3" footer="0.3"/>
  <ignoredErrors>
    <ignoredError sqref="E13:F13" evalError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B2:G27"/>
  <sheetViews>
    <sheetView workbookViewId="0">
      <selection activeCell="B2" sqref="B1:B2"/>
    </sheetView>
  </sheetViews>
  <sheetFormatPr defaultColWidth="9" defaultRowHeight="15"/>
  <cols>
    <col min="1" max="1" width="9" style="22"/>
    <col min="2" max="2" width="20.33203125" style="22" customWidth="1"/>
    <col min="3" max="3" width="15.44140625" style="22" customWidth="1"/>
    <col min="4" max="4" width="20.33203125" style="22" customWidth="1"/>
    <col min="5" max="5" width="15" style="22" bestFit="1" customWidth="1"/>
    <col min="6" max="6" width="27" style="22" customWidth="1"/>
    <col min="7" max="16384" width="9" style="22"/>
  </cols>
  <sheetData>
    <row r="2" spans="2:7">
      <c r="B2" s="21" t="s">
        <v>32</v>
      </c>
    </row>
    <row r="3" spans="2:7">
      <c r="B3" s="21"/>
    </row>
    <row r="4" spans="2:7" ht="15.75" thickBot="1">
      <c r="B4" s="23" t="s">
        <v>63</v>
      </c>
      <c r="C4" s="23" t="s">
        <v>64</v>
      </c>
    </row>
    <row r="5" spans="2:7">
      <c r="B5" s="24">
        <f>0</f>
        <v>0</v>
      </c>
      <c r="C5" s="24">
        <f>31.93</f>
        <v>31.93</v>
      </c>
    </row>
    <row r="6" spans="2:7">
      <c r="B6" s="24">
        <f>1</f>
        <v>1</v>
      </c>
      <c r="C6" s="24">
        <f>31.61</f>
        <v>31.61</v>
      </c>
    </row>
    <row r="7" spans="2:7">
      <c r="B7" s="24">
        <f>2</f>
        <v>2</v>
      </c>
      <c r="C7" s="24">
        <f>31.51</f>
        <v>31.51</v>
      </c>
    </row>
    <row r="8" spans="2:7">
      <c r="B8" s="24">
        <f>3</f>
        <v>3</v>
      </c>
      <c r="C8" s="24">
        <f>31.43</f>
        <v>31.43</v>
      </c>
    </row>
    <row r="9" spans="2:7">
      <c r="B9" s="24"/>
      <c r="C9" s="24"/>
    </row>
    <row r="10" spans="2:7" ht="19.5">
      <c r="C10" s="24" t="s">
        <v>93</v>
      </c>
    </row>
    <row r="11" spans="2:7">
      <c r="B11" s="24"/>
      <c r="C11" s="24"/>
    </row>
    <row r="12" spans="2:7" ht="39.75" thickBot="1">
      <c r="B12" s="25" t="s">
        <v>2</v>
      </c>
      <c r="C12" s="25" t="s">
        <v>67</v>
      </c>
      <c r="D12" s="25" t="s">
        <v>94</v>
      </c>
      <c r="E12" s="25" t="s">
        <v>4</v>
      </c>
      <c r="F12" s="25" t="s">
        <v>95</v>
      </c>
      <c r="G12" s="26"/>
    </row>
    <row r="13" spans="2:7">
      <c r="B13" s="26">
        <f t="shared" ref="B13:C16" si="0">B5</f>
        <v>0</v>
      </c>
      <c r="C13" s="26">
        <f t="shared" si="0"/>
        <v>31.93</v>
      </c>
      <c r="D13" s="26">
        <f>($C$13-$C13)/$C$13</f>
        <v>0</v>
      </c>
      <c r="E13" s="26" t="e">
        <f>LN(B5)</f>
        <v>#NUM!</v>
      </c>
      <c r="F13" s="26" t="e">
        <f>LN(D13)</f>
        <v>#NUM!</v>
      </c>
      <c r="G13" s="26"/>
    </row>
    <row r="14" spans="2:7">
      <c r="B14" s="26">
        <f t="shared" si="0"/>
        <v>1</v>
      </c>
      <c r="C14" s="26">
        <f t="shared" si="0"/>
        <v>31.61</v>
      </c>
      <c r="D14" s="27">
        <f>($C$13-$C14)/$C$13</f>
        <v>1.0021922956467281E-2</v>
      </c>
      <c r="E14" s="26">
        <f>LN(B6)</f>
        <v>0</v>
      </c>
      <c r="F14" s="26">
        <f>LN(D14)</f>
        <v>-4.6029802899150543</v>
      </c>
      <c r="G14" s="26"/>
    </row>
    <row r="15" spans="2:7">
      <c r="B15" s="26">
        <f t="shared" si="0"/>
        <v>2</v>
      </c>
      <c r="C15" s="26">
        <f t="shared" si="0"/>
        <v>31.51</v>
      </c>
      <c r="D15" s="27">
        <f>($C$13-$C15)/$C$13</f>
        <v>1.3153773880363238E-2</v>
      </c>
      <c r="E15" s="26">
        <f>LN(B7)</f>
        <v>0.69314718055994529</v>
      </c>
      <c r="F15" s="26">
        <f>LN(D15)</f>
        <v>-4.3310465744314177</v>
      </c>
      <c r="G15" s="26"/>
    </row>
    <row r="16" spans="2:7">
      <c r="B16" s="26">
        <f t="shared" si="0"/>
        <v>3</v>
      </c>
      <c r="C16" s="26">
        <f t="shared" si="0"/>
        <v>31.43</v>
      </c>
      <c r="D16" s="27">
        <f>($C$13-$C16)/$C$13</f>
        <v>1.5659254619480114E-2</v>
      </c>
      <c r="E16" s="26">
        <f>LN(B8)</f>
        <v>1.0986122886681098</v>
      </c>
      <c r="F16" s="26">
        <f>LN(D16)</f>
        <v>-4.1566931872866357</v>
      </c>
      <c r="G16" s="26"/>
    </row>
    <row r="19" spans="2:5">
      <c r="B19" s="22" t="s">
        <v>65</v>
      </c>
    </row>
    <row r="20" spans="2:5">
      <c r="B20" s="22" t="s">
        <v>28</v>
      </c>
      <c r="C20" s="24">
        <v>-4.5999999999999996</v>
      </c>
    </row>
    <row r="21" spans="2:5">
      <c r="B21" s="22" t="s">
        <v>66</v>
      </c>
      <c r="C21" s="22">
        <f>1/EXP(4.6)</f>
        <v>1.0051835744633584E-2</v>
      </c>
    </row>
    <row r="22" spans="2:5">
      <c r="D22" s="22">
        <f>10^0.6</f>
        <v>3.9810717055349727</v>
      </c>
    </row>
    <row r="23" spans="2:5">
      <c r="D23" s="22">
        <f>D22*0.04</f>
        <v>0.15924286822139891</v>
      </c>
    </row>
    <row r="24" spans="2:5">
      <c r="D24" s="22">
        <f>1-D23</f>
        <v>0.84075713177860112</v>
      </c>
    </row>
    <row r="25" spans="2:5" ht="20.25">
      <c r="B25" s="22" t="s">
        <v>96</v>
      </c>
      <c r="D25" s="22">
        <f>D24*C13</f>
        <v>26.845375217690734</v>
      </c>
      <c r="E25" s="28" t="s">
        <v>97</v>
      </c>
    </row>
    <row r="27" spans="2:5">
      <c r="B27" s="22" t="s">
        <v>92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B2:E18"/>
  <sheetViews>
    <sheetView workbookViewId="0">
      <selection activeCell="H9" sqref="H9"/>
    </sheetView>
  </sheetViews>
  <sheetFormatPr defaultColWidth="9" defaultRowHeight="16.5"/>
  <cols>
    <col min="1" max="1" width="9" style="41"/>
    <col min="2" max="2" width="11.33203125" style="41" customWidth="1"/>
    <col min="3" max="3" width="12.77734375" style="41" customWidth="1"/>
    <col min="4" max="4" width="8.77734375" style="41" customWidth="1"/>
    <col min="5" max="5" width="16.33203125" style="41" customWidth="1"/>
    <col min="6" max="16384" width="9" style="41"/>
  </cols>
  <sheetData>
    <row r="2" spans="2:5">
      <c r="B2" s="41" t="s">
        <v>68</v>
      </c>
    </row>
    <row r="3" spans="2:5">
      <c r="B3" s="41" t="s">
        <v>113</v>
      </c>
    </row>
    <row r="4" spans="2:5" ht="17.25" thickBot="1"/>
    <row r="5" spans="2:5" ht="33.75" thickBot="1">
      <c r="B5" s="48" t="s">
        <v>69</v>
      </c>
      <c r="C5" s="48" t="s">
        <v>70</v>
      </c>
      <c r="D5" s="48" t="s">
        <v>69</v>
      </c>
      <c r="E5" s="48" t="s">
        <v>71</v>
      </c>
    </row>
    <row r="6" spans="2:5">
      <c r="B6" s="49">
        <f>0</f>
        <v>0</v>
      </c>
      <c r="C6" s="50">
        <f>22</f>
        <v>22</v>
      </c>
      <c r="D6" s="51"/>
      <c r="E6" s="51"/>
    </row>
    <row r="7" spans="2:5">
      <c r="B7" s="50">
        <f>2</f>
        <v>2</v>
      </c>
      <c r="C7" s="50">
        <f>22</f>
        <v>22</v>
      </c>
      <c r="D7" s="51"/>
      <c r="E7" s="51"/>
    </row>
    <row r="8" spans="2:5">
      <c r="B8" s="50">
        <f>4</f>
        <v>4</v>
      </c>
      <c r="C8" s="50">
        <f>22</f>
        <v>22</v>
      </c>
      <c r="D8" s="51"/>
      <c r="E8" s="51"/>
    </row>
    <row r="9" spans="2:5">
      <c r="B9" s="50">
        <f>6</f>
        <v>6</v>
      </c>
      <c r="C9" s="50">
        <f>22</f>
        <v>22</v>
      </c>
      <c r="D9" s="51"/>
      <c r="E9" s="51"/>
    </row>
    <row r="10" spans="2:5">
      <c r="B10" s="50">
        <f>8</f>
        <v>8</v>
      </c>
      <c r="C10" s="50">
        <f>22</f>
        <v>22</v>
      </c>
      <c r="D10" s="51"/>
      <c r="E10" s="51"/>
    </row>
    <row r="11" spans="2:5">
      <c r="B11" s="50">
        <f>10</f>
        <v>10</v>
      </c>
      <c r="C11" s="50">
        <f>22</f>
        <v>22</v>
      </c>
      <c r="D11" s="51"/>
      <c r="E11" s="51"/>
    </row>
    <row r="12" spans="2:5">
      <c r="B12" s="50">
        <f>12</f>
        <v>12</v>
      </c>
      <c r="C12" s="50">
        <f>22</f>
        <v>22</v>
      </c>
      <c r="D12" s="51"/>
      <c r="E12" s="51"/>
    </row>
    <row r="13" spans="2:5">
      <c r="B13" s="50">
        <f>14</f>
        <v>14</v>
      </c>
      <c r="C13" s="50">
        <f>21.75</f>
        <v>21.75</v>
      </c>
      <c r="D13" s="51"/>
      <c r="E13" s="51"/>
    </row>
    <row r="14" spans="2:5">
      <c r="B14" s="50">
        <v>16</v>
      </c>
      <c r="C14" s="50">
        <f>21.42</f>
        <v>21.42</v>
      </c>
      <c r="D14" s="51"/>
      <c r="E14" s="51"/>
    </row>
    <row r="15" spans="2:5">
      <c r="B15" s="50">
        <v>18</v>
      </c>
      <c r="C15" s="50">
        <f>21.06</f>
        <v>21.06</v>
      </c>
      <c r="D15" s="51"/>
      <c r="E15" s="51"/>
    </row>
    <row r="16" spans="2:5">
      <c r="B16" s="50">
        <v>20</v>
      </c>
      <c r="C16" s="50">
        <f>20.67</f>
        <v>20.67</v>
      </c>
      <c r="D16" s="51"/>
      <c r="E16" s="51"/>
    </row>
    <row r="17" spans="2:5">
      <c r="B17" s="50">
        <v>22</v>
      </c>
      <c r="C17" s="50">
        <f>20.26</f>
        <v>20.260000000000002</v>
      </c>
      <c r="D17" s="51"/>
      <c r="E17" s="51"/>
    </row>
    <row r="18" spans="2:5">
      <c r="B18" s="50">
        <v>24</v>
      </c>
      <c r="C18" s="50">
        <f>19.83</f>
        <v>19.829999999999998</v>
      </c>
      <c r="D18" s="51"/>
      <c r="E18" s="51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00FF"/>
  </sheetPr>
  <dimension ref="B2:E14"/>
  <sheetViews>
    <sheetView zoomScale="80" zoomScaleNormal="80" workbookViewId="0">
      <selection activeCell="N28" sqref="N28"/>
    </sheetView>
  </sheetViews>
  <sheetFormatPr defaultColWidth="9" defaultRowHeight="16.5"/>
  <cols>
    <col min="1" max="2" width="9" style="42"/>
    <col min="3" max="3" width="26.33203125" style="42" customWidth="1"/>
    <col min="4" max="4" width="14.88671875" style="42" customWidth="1"/>
    <col min="5" max="5" width="29.109375" style="42" customWidth="1"/>
    <col min="6" max="16384" width="9" style="42"/>
  </cols>
  <sheetData>
    <row r="2" spans="2:5" ht="18.75" thickBot="1">
      <c r="B2" s="43" t="s">
        <v>109</v>
      </c>
      <c r="C2" s="43" t="s">
        <v>110</v>
      </c>
      <c r="D2" s="43" t="s">
        <v>111</v>
      </c>
      <c r="E2" s="43" t="s">
        <v>72</v>
      </c>
    </row>
    <row r="3" spans="2:5">
      <c r="B3" s="44">
        <f>3500</f>
        <v>3500</v>
      </c>
      <c r="C3" s="44">
        <f>750000</f>
        <v>750000</v>
      </c>
      <c r="D3" s="44">
        <f>4000</f>
        <v>4000</v>
      </c>
      <c r="E3" s="44">
        <f>C3*(B3/D3)^3</f>
        <v>502441.40625</v>
      </c>
    </row>
    <row r="4" spans="2:5">
      <c r="B4" s="44">
        <v>4000</v>
      </c>
      <c r="C4" s="44">
        <v>450000</v>
      </c>
      <c r="D4" s="44">
        <f>4000</f>
        <v>4000</v>
      </c>
      <c r="E4" s="44">
        <f>C4*(B4/D4)^3</f>
        <v>450000</v>
      </c>
    </row>
    <row r="5" spans="2:5">
      <c r="B5" s="44">
        <v>4500</v>
      </c>
      <c r="C5" s="44">
        <f>20000</f>
        <v>20000</v>
      </c>
      <c r="D5" s="44">
        <f>4000</f>
        <v>4000</v>
      </c>
      <c r="E5" s="44">
        <f>C5*(B5/D5)^3</f>
        <v>28476.5625</v>
      </c>
    </row>
    <row r="6" spans="2:5" ht="17.25" thickBot="1">
      <c r="B6" s="45" t="s">
        <v>73</v>
      </c>
      <c r="C6" s="46">
        <f>SUM(C3:C5)</f>
        <v>1220000</v>
      </c>
      <c r="E6" s="46">
        <f>SUM(E3:E5)</f>
        <v>980917.96875</v>
      </c>
    </row>
    <row r="8" spans="2:5">
      <c r="B8" s="47" t="s">
        <v>112</v>
      </c>
    </row>
    <row r="10" spans="2:5" ht="17.25" thickBot="1">
      <c r="B10" s="43" t="s">
        <v>74</v>
      </c>
      <c r="C10" s="43" t="s">
        <v>75</v>
      </c>
      <c r="D10" s="43" t="s">
        <v>76</v>
      </c>
      <c r="E10" s="43" t="s">
        <v>77</v>
      </c>
    </row>
    <row r="11" spans="2:5">
      <c r="B11" s="44">
        <f>3500</f>
        <v>3500</v>
      </c>
      <c r="C11" s="44">
        <f>1000000</f>
        <v>1000000</v>
      </c>
      <c r="D11" s="44">
        <f>4000</f>
        <v>4000</v>
      </c>
      <c r="E11" s="44">
        <f>C11*(D11/B11)^3</f>
        <v>1492711.3702623905</v>
      </c>
    </row>
    <row r="12" spans="2:5">
      <c r="B12" s="44">
        <v>4000</v>
      </c>
      <c r="C12" s="44">
        <f>1000000</f>
        <v>1000000</v>
      </c>
      <c r="D12" s="44">
        <f>4000</f>
        <v>4000</v>
      </c>
      <c r="E12" s="44">
        <f>C12*(D12/B12)^3</f>
        <v>1000000</v>
      </c>
    </row>
    <row r="13" spans="2:5">
      <c r="B13" s="44">
        <v>4500</v>
      </c>
      <c r="C13" s="44">
        <f>1000000</f>
        <v>1000000</v>
      </c>
      <c r="D13" s="44">
        <f>4000</f>
        <v>4000</v>
      </c>
      <c r="E13" s="44">
        <f>C13*(D13/B13)^3</f>
        <v>702331.96159122081</v>
      </c>
    </row>
    <row r="14" spans="2:5" ht="17.25" thickBot="1">
      <c r="B14" s="45" t="s">
        <v>73</v>
      </c>
      <c r="C14" s="46">
        <f>SUM(C11:C13)</f>
        <v>3000000</v>
      </c>
      <c r="E14" s="46">
        <f>SUM(E11:E13)</f>
        <v>3195043.3318536114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241" r:id="rId4">
          <objectPr defaultSize="0" autoPict="0" r:id="rId5">
            <anchor moveWithCells="1">
              <from>
                <xdr:col>6</xdr:col>
                <xdr:colOff>600075</xdr:colOff>
                <xdr:row>0</xdr:row>
                <xdr:rowOff>190500</xdr:rowOff>
              </from>
              <to>
                <xdr:col>8</xdr:col>
                <xdr:colOff>600075</xdr:colOff>
                <xdr:row>4</xdr:row>
                <xdr:rowOff>180975</xdr:rowOff>
              </to>
            </anchor>
          </objectPr>
        </oleObject>
      </mc:Choice>
      <mc:Fallback>
        <oleObject progId="Equation.3" shapeId="10241" r:id="rId4"/>
      </mc:Fallback>
    </mc:AlternateContent>
    <mc:AlternateContent xmlns:mc="http://schemas.openxmlformats.org/markup-compatibility/2006">
      <mc:Choice Requires="x14">
        <oleObject progId="Equation.3" shapeId="10242" r:id="rId6">
          <objectPr defaultSize="0" autoPict="0" r:id="rId7">
            <anchor moveWithCells="1">
              <from>
                <xdr:col>9</xdr:col>
                <xdr:colOff>180975</xdr:colOff>
                <xdr:row>0</xdr:row>
                <xdr:rowOff>209550</xdr:rowOff>
              </from>
              <to>
                <xdr:col>13</xdr:col>
                <xdr:colOff>180975</xdr:colOff>
                <xdr:row>4</xdr:row>
                <xdr:rowOff>28575</xdr:rowOff>
              </to>
            </anchor>
          </objectPr>
        </oleObject>
      </mc:Choice>
      <mc:Fallback>
        <oleObject progId="Equation.3" shapeId="10242" r:id="rId6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3" tint="-0.249977111117893"/>
    <pageSetUpPr fitToPage="1"/>
  </sheetPr>
  <dimension ref="B4:I18"/>
  <sheetViews>
    <sheetView zoomScale="90" zoomScaleNormal="90" workbookViewId="0">
      <selection activeCell="L2" sqref="L2"/>
    </sheetView>
  </sheetViews>
  <sheetFormatPr defaultColWidth="9" defaultRowHeight="15.75"/>
  <cols>
    <col min="1" max="1" width="19.44140625" style="80" customWidth="1"/>
    <col min="2" max="2" width="41.33203125" style="80" customWidth="1"/>
    <col min="3" max="3" width="13.88671875" style="80" customWidth="1"/>
    <col min="4" max="4" width="24.21875" style="80" bestFit="1" customWidth="1"/>
    <col min="5" max="5" width="22.33203125" style="80" customWidth="1"/>
    <col min="6" max="7" width="9" style="80"/>
    <col min="8" max="8" width="17.6640625" style="80" bestFit="1" customWidth="1"/>
    <col min="9" max="16384" width="9" style="80"/>
  </cols>
  <sheetData>
    <row r="4" spans="2:9" ht="18.75">
      <c r="B4" s="78" t="s">
        <v>136</v>
      </c>
      <c r="C4" s="79">
        <f>0.001</f>
        <v>1E-3</v>
      </c>
    </row>
    <row r="5" spans="2:9" ht="18.75">
      <c r="B5" s="78" t="s">
        <v>137</v>
      </c>
      <c r="C5" s="79">
        <f>0.00023</f>
        <v>2.3000000000000001E-4</v>
      </c>
    </row>
    <row r="6" spans="2:9" ht="18.75">
      <c r="B6" s="78" t="s">
        <v>138</v>
      </c>
      <c r="C6" s="79">
        <f>1/C4</f>
        <v>1000</v>
      </c>
    </row>
    <row r="7" spans="2:9" ht="18.75">
      <c r="B7" s="78" t="s">
        <v>139</v>
      </c>
      <c r="C7" s="79">
        <f>1/C5</f>
        <v>4347.826086956522</v>
      </c>
    </row>
    <row r="8" spans="2:9">
      <c r="B8" s="78" t="s">
        <v>78</v>
      </c>
      <c r="C8" s="81">
        <f>8760</f>
        <v>8760</v>
      </c>
    </row>
    <row r="9" spans="2:9">
      <c r="B9" s="78" t="s">
        <v>79</v>
      </c>
      <c r="C9" s="81">
        <f>1</f>
        <v>1</v>
      </c>
    </row>
    <row r="12" spans="2:9" ht="27" customHeight="1">
      <c r="B12" s="82"/>
      <c r="C12" s="80">
        <f>1/EXP(C4*C8)</f>
        <v>1.5688460858652242E-4</v>
      </c>
      <c r="D12" s="83" t="str">
        <f ca="1">_xlfn.FORMULATEXT(C12)</f>
        <v>=1/EXP(C4*C8)</v>
      </c>
      <c r="H12" s="80">
        <f>-LN(0.90248)/(25*8760)</f>
        <v>4.685331035866312E-7</v>
      </c>
    </row>
    <row r="13" spans="2:9">
      <c r="C13" s="80">
        <f>(C9*C4)/(C5-C4)</f>
        <v>-1.2987012987012987</v>
      </c>
      <c r="D13" s="83" t="str">
        <f ca="1">_xlfn.FORMULATEXT(C13)</f>
        <v>=(C9*C4)/(C5-C4)</v>
      </c>
      <c r="H13" s="80">
        <f>-LN(0.979011)/(25*8760)</f>
        <v>9.6860276528280345E-8</v>
      </c>
    </row>
    <row r="14" spans="2:9" ht="31.5">
      <c r="C14" s="80">
        <f>1/EXP(C4*C8)-1/EXP(C5*C8)</f>
        <v>-0.13319018550462186</v>
      </c>
      <c r="D14" s="83" t="str">
        <f ca="1">_xlfn.FORMULATEXT(C14)</f>
        <v>=1/EXP(C4*C8)-1/EXP(C5*C8)</v>
      </c>
      <c r="H14" s="84">
        <f>1/H13</f>
        <v>10324149.753052063</v>
      </c>
      <c r="I14" s="80" t="s">
        <v>80</v>
      </c>
    </row>
    <row r="15" spans="2:9" ht="18.75">
      <c r="C15" s="85" t="s">
        <v>140</v>
      </c>
      <c r="D15" s="86">
        <f>C12+C13*C14</f>
        <v>0.1731311514977058</v>
      </c>
      <c r="E15" s="83" t="str">
        <f ca="1">_xlfn.FORMULATEXT(D15)</f>
        <v>=C12+C13*C14</v>
      </c>
      <c r="H15" s="84">
        <f>1/H12</f>
        <v>2134320.9099740828</v>
      </c>
      <c r="I15" s="80" t="s">
        <v>141</v>
      </c>
    </row>
    <row r="16" spans="2:9">
      <c r="H16" s="84">
        <f>H14-H15</f>
        <v>8189828.84307798</v>
      </c>
    </row>
    <row r="18" spans="4:4">
      <c r="D18" s="87"/>
    </row>
  </sheetData>
  <pageMargins left="0.7" right="0.7" top="0.75" bottom="0.75" header="0.3" footer="0.3"/>
  <pageSetup paperSize="17" scale="83" orientation="landscape" r:id="rId1"/>
  <headerFooter>
    <oddHeader>&amp;CCRE Primer Section VI Modeling &amp; Predictions; Problem 6.3</oddHead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B1:G10"/>
  <sheetViews>
    <sheetView workbookViewId="0">
      <selection activeCell="F14" sqref="F14"/>
    </sheetView>
  </sheetViews>
  <sheetFormatPr defaultColWidth="9" defaultRowHeight="15"/>
  <cols>
    <col min="1" max="1" width="9" style="22"/>
    <col min="2" max="2" width="19" style="22" customWidth="1"/>
    <col min="3" max="3" width="18.88671875" style="22" customWidth="1"/>
    <col min="4" max="4" width="29" style="22" customWidth="1"/>
    <col min="5" max="5" width="27.6640625" style="22" customWidth="1"/>
    <col min="6" max="6" width="15" style="22" customWidth="1"/>
    <col min="7" max="7" width="24.77734375" style="22" customWidth="1"/>
    <col min="8" max="16384" width="9" style="22"/>
  </cols>
  <sheetData>
    <row r="1" spans="2:7" ht="15.75" thickBot="1"/>
    <row r="2" spans="2:7" ht="15.75" thickBot="1">
      <c r="B2" s="29" t="s">
        <v>81</v>
      </c>
      <c r="C2" s="29" t="s">
        <v>82</v>
      </c>
      <c r="D2" s="29" t="s">
        <v>83</v>
      </c>
      <c r="E2" s="29" t="s">
        <v>91</v>
      </c>
      <c r="F2" s="29" t="s">
        <v>90</v>
      </c>
    </row>
    <row r="3" spans="2:7">
      <c r="B3" s="30" t="s">
        <v>84</v>
      </c>
      <c r="C3" s="31">
        <f>3</f>
        <v>3</v>
      </c>
      <c r="D3" s="32">
        <f>3/10^6</f>
        <v>3.0000000000000001E-6</v>
      </c>
      <c r="E3" s="32">
        <f t="shared" ref="E3:E8" si="0">C3*D3</f>
        <v>9.0000000000000002E-6</v>
      </c>
      <c r="F3" s="33">
        <f t="shared" ref="F3:F8" si="1">1/EXP(E3*1000)</f>
        <v>0.99104037877288365</v>
      </c>
    </row>
    <row r="4" spans="2:7">
      <c r="B4" s="31" t="s">
        <v>85</v>
      </c>
      <c r="C4" s="31">
        <f>2</f>
        <v>2</v>
      </c>
      <c r="D4" s="32">
        <f>1/(5*10^5)</f>
        <v>1.9999999999999999E-6</v>
      </c>
      <c r="E4" s="32">
        <f t="shared" si="0"/>
        <v>3.9999999999999998E-6</v>
      </c>
      <c r="F4" s="34">
        <f t="shared" si="1"/>
        <v>0.99600798934399148</v>
      </c>
    </row>
    <row r="5" spans="2:7">
      <c r="B5" s="31" t="s">
        <v>86</v>
      </c>
      <c r="C5" s="31">
        <f>8</f>
        <v>8</v>
      </c>
      <c r="D5" s="32">
        <f>5/10^7</f>
        <v>4.9999999999999998E-7</v>
      </c>
      <c r="E5" s="32">
        <f t="shared" si="0"/>
        <v>3.9999999999999998E-6</v>
      </c>
      <c r="F5" s="34">
        <f t="shared" si="1"/>
        <v>0.99600798934399148</v>
      </c>
    </row>
    <row r="6" spans="2:7">
      <c r="B6" s="31" t="s">
        <v>87</v>
      </c>
      <c r="C6" s="31">
        <f>1</f>
        <v>1</v>
      </c>
      <c r="D6" s="32">
        <f>2/10^5</f>
        <v>2.0000000000000002E-5</v>
      </c>
      <c r="E6" s="32">
        <f t="shared" si="0"/>
        <v>2.0000000000000002E-5</v>
      </c>
      <c r="F6" s="34">
        <f t="shared" si="1"/>
        <v>0.98019867330675536</v>
      </c>
    </row>
    <row r="7" spans="2:7">
      <c r="B7" s="31" t="s">
        <v>88</v>
      </c>
      <c r="C7" s="31">
        <f>1</f>
        <v>1</v>
      </c>
      <c r="D7" s="32">
        <f>1/(1*10^5)</f>
        <v>1.0000000000000001E-5</v>
      </c>
      <c r="E7" s="32">
        <f t="shared" si="0"/>
        <v>1.0000000000000001E-5</v>
      </c>
      <c r="F7" s="34">
        <f t="shared" si="1"/>
        <v>0.99004983374916811</v>
      </c>
    </row>
    <row r="8" spans="2:7">
      <c r="B8" s="31" t="s">
        <v>89</v>
      </c>
      <c r="C8" s="31">
        <f>3</f>
        <v>3</v>
      </c>
      <c r="D8" s="32">
        <f>4/10^6</f>
        <v>3.9999999999999998E-6</v>
      </c>
      <c r="E8" s="32">
        <f t="shared" si="0"/>
        <v>1.2E-5</v>
      </c>
      <c r="F8" s="34">
        <f t="shared" si="1"/>
        <v>0.98807171286193052</v>
      </c>
    </row>
    <row r="9" spans="2:7" ht="15.75" thickBot="1">
      <c r="E9" s="35"/>
      <c r="F9" s="36">
        <f>PRODUCT(F3:F8)</f>
        <v>0.94270676915709983</v>
      </c>
      <c r="G9" s="26" t="str">
        <f ca="1">_xlfn.FORMULATEXT(F9)</f>
        <v>=PRODUCT(F3:F8)</v>
      </c>
    </row>
    <row r="10" spans="2:7" ht="15.75" thickTop="1"/>
  </sheetData>
  <pageMargins left="0.7" right="0.7" top="0.75" bottom="0.75" header="0.3" footer="0.3"/>
  <pageSetup orientation="portrait" r:id="rId1"/>
  <headerFooter>
    <oddHeader>&amp;CCRE Primer Section VI Modeling &amp; Predictions; Problem 6.9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5" tint="-0.249977111117893"/>
  </sheetPr>
  <dimension ref="A1"/>
  <sheetViews>
    <sheetView workbookViewId="0">
      <selection activeCell="I23" sqref="I23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5"/>
  </sheetPr>
  <dimension ref="A1"/>
  <sheetViews>
    <sheetView workbookViewId="0">
      <selection activeCell="O20" sqref="O20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5"/>
  </sheetPr>
  <dimension ref="A1"/>
  <sheetViews>
    <sheetView workbookViewId="0">
      <selection activeCell="J10" sqref="J10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5" tint="0.39997558519241921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9" tint="-0.249977111117893"/>
  </sheetPr>
  <dimension ref="A1:C4"/>
  <sheetViews>
    <sheetView topLeftCell="F1" zoomScale="80" zoomScaleNormal="80" workbookViewId="0">
      <selection activeCell="V28" sqref="V28"/>
    </sheetView>
  </sheetViews>
  <sheetFormatPr defaultRowHeight="15"/>
  <cols>
    <col min="1" max="1" width="36.109375" customWidth="1"/>
    <col min="2" max="2" width="26.109375" customWidth="1"/>
    <col min="3" max="3" width="46.6640625" customWidth="1"/>
  </cols>
  <sheetData>
    <row r="1" spans="1:3" ht="18.75" thickBot="1">
      <c r="A1" s="38" t="s">
        <v>98</v>
      </c>
      <c r="B1" s="38" t="s">
        <v>18</v>
      </c>
      <c r="C1" s="38" t="s">
        <v>99</v>
      </c>
    </row>
    <row r="2" spans="1:3" ht="36">
      <c r="A2" s="39" t="s">
        <v>100</v>
      </c>
      <c r="B2" s="40" t="s">
        <v>101</v>
      </c>
      <c r="C2" s="39" t="s">
        <v>102</v>
      </c>
    </row>
    <row r="3" spans="1:3" ht="36">
      <c r="A3" s="39" t="s">
        <v>103</v>
      </c>
      <c r="B3" s="40" t="s">
        <v>104</v>
      </c>
      <c r="C3" s="39" t="s">
        <v>105</v>
      </c>
    </row>
    <row r="4" spans="1:3" ht="36">
      <c r="A4" s="39" t="s">
        <v>106</v>
      </c>
      <c r="B4" s="40" t="s">
        <v>107</v>
      </c>
      <c r="C4" s="39" t="s">
        <v>108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878F4-4E8A-406F-AFA3-F0239B64549B}">
  <sheetPr codeName="Sheet19">
    <tabColor rgb="FFFFFF00"/>
  </sheetPr>
  <dimension ref="B1:H27"/>
  <sheetViews>
    <sheetView workbookViewId="0">
      <selection activeCell="J26" sqref="J26"/>
    </sheetView>
  </sheetViews>
  <sheetFormatPr defaultColWidth="9" defaultRowHeight="15"/>
  <cols>
    <col min="1" max="1" width="9" style="37"/>
    <col min="2" max="2" width="28.77734375" style="37" bestFit="1" customWidth="1"/>
    <col min="3" max="3" width="18" style="37" customWidth="1"/>
    <col min="4" max="4" width="6.109375" style="37" customWidth="1"/>
    <col min="5" max="5" width="9" style="37"/>
    <col min="6" max="6" width="12" style="37" bestFit="1" customWidth="1"/>
    <col min="7" max="7" width="9" style="37"/>
    <col min="8" max="8" width="11" style="37" customWidth="1"/>
    <col min="9" max="16384" width="9" style="37"/>
  </cols>
  <sheetData>
    <row r="1" spans="2:8" ht="15.75" thickBot="1"/>
    <row r="2" spans="2:8" ht="19.5">
      <c r="B2" s="52" t="s">
        <v>129</v>
      </c>
      <c r="C2" s="53">
        <f>87600</f>
        <v>87600</v>
      </c>
      <c r="D2" s="54" t="s">
        <v>114</v>
      </c>
      <c r="G2" s="37" t="s">
        <v>133</v>
      </c>
      <c r="H2" s="37">
        <f>LN(C5)</f>
        <v>13.459977818604319</v>
      </c>
    </row>
    <row r="3" spans="2:8" ht="19.5">
      <c r="B3" s="55" t="s">
        <v>115</v>
      </c>
      <c r="C3" s="56">
        <f>LN(C2)</f>
        <v>11.380536276924483</v>
      </c>
      <c r="D3" s="57"/>
      <c r="G3" s="37" t="s">
        <v>134</v>
      </c>
      <c r="H3" s="37">
        <f>LN(C2)</f>
        <v>11.380536276924483</v>
      </c>
    </row>
    <row r="4" spans="2:8" s="73" customFormat="1" ht="25.5" customHeight="1" thickBot="1">
      <c r="B4" s="74" t="s">
        <v>116</v>
      </c>
      <c r="C4" s="75">
        <f>0.7</f>
        <v>0.7</v>
      </c>
      <c r="D4" s="76"/>
      <c r="G4" s="77" t="s">
        <v>135</v>
      </c>
      <c r="H4" s="73">
        <f>C4*SQRT(2)</f>
        <v>0.98994949366116658</v>
      </c>
    </row>
    <row r="5" spans="2:8" ht="15.75" thickBot="1">
      <c r="B5" s="69" t="s">
        <v>132</v>
      </c>
      <c r="C5" s="72">
        <f>8*87600</f>
        <v>700800</v>
      </c>
      <c r="D5" s="58" t="s">
        <v>114</v>
      </c>
      <c r="H5" s="37">
        <f>H2-H3</f>
        <v>2.0794415416798362</v>
      </c>
    </row>
    <row r="6" spans="2:8">
      <c r="B6" s="71"/>
      <c r="C6" s="56"/>
      <c r="D6" s="71"/>
      <c r="H6" s="37">
        <f>H5/H4</f>
        <v>2.1005531645754583</v>
      </c>
    </row>
    <row r="7" spans="2:8">
      <c r="H7" s="37">
        <f>ERFC(H6)</f>
        <v>2.9718884519936285E-3</v>
      </c>
    </row>
    <row r="8" spans="2:8">
      <c r="B8" s="59" t="s">
        <v>117</v>
      </c>
      <c r="C8" s="60" t="s">
        <v>118</v>
      </c>
    </row>
    <row r="9" spans="2:8">
      <c r="B9" s="158" t="s">
        <v>119</v>
      </c>
      <c r="C9" s="159"/>
      <c r="H9" s="37">
        <f>H7^2</f>
        <v>8.8321209710930852E-6</v>
      </c>
    </row>
    <row r="10" spans="2:8">
      <c r="B10" s="59" t="s">
        <v>120</v>
      </c>
      <c r="C10" s="61" t="s">
        <v>121</v>
      </c>
      <c r="H10" s="37">
        <f>1/EXP(H9)</f>
        <v>0.99999116791803189</v>
      </c>
    </row>
    <row r="11" spans="2:8">
      <c r="B11" s="59" t="s">
        <v>122</v>
      </c>
      <c r="C11" s="61" t="s">
        <v>123</v>
      </c>
    </row>
    <row r="12" spans="2:8">
      <c r="B12" s="59" t="s">
        <v>124</v>
      </c>
      <c r="C12" s="62">
        <v>43373</v>
      </c>
    </row>
    <row r="13" spans="2:8">
      <c r="B13" s="158" t="s">
        <v>125</v>
      </c>
      <c r="C13" s="159"/>
      <c r="H13" s="37">
        <f>1/(C4*C5*SQRT(2*3.14))</f>
        <v>8.1344472079625558E-7</v>
      </c>
    </row>
    <row r="14" spans="2:8">
      <c r="B14" s="59" t="s">
        <v>126</v>
      </c>
      <c r="C14" s="61">
        <v>70080</v>
      </c>
      <c r="H14" s="37">
        <f>H13/(0.5*H9*H10)</f>
        <v>0.18420307147796802</v>
      </c>
    </row>
    <row r="15" spans="2:8">
      <c r="B15" s="158" t="s">
        <v>127</v>
      </c>
      <c r="C15" s="159"/>
    </row>
    <row r="16" spans="2:8" ht="15.75" thickBot="1">
      <c r="B16" s="63" t="s">
        <v>128</v>
      </c>
      <c r="C16" s="64">
        <v>0.374948</v>
      </c>
    </row>
    <row r="17" spans="2:3" ht="15.75" thickBot="1"/>
    <row r="18" spans="2:3">
      <c r="B18" s="65" t="s">
        <v>130</v>
      </c>
      <c r="C18" s="54"/>
    </row>
    <row r="19" spans="2:3">
      <c r="B19" s="66" t="s">
        <v>117</v>
      </c>
      <c r="C19" s="67" t="s">
        <v>118</v>
      </c>
    </row>
    <row r="20" spans="2:3">
      <c r="B20" s="66" t="s">
        <v>119</v>
      </c>
      <c r="C20" s="67"/>
    </row>
    <row r="21" spans="2:3">
      <c r="B21" s="66" t="s">
        <v>120</v>
      </c>
      <c r="C21" s="67" t="s">
        <v>121</v>
      </c>
    </row>
    <row r="22" spans="2:3">
      <c r="B22" s="66" t="s">
        <v>122</v>
      </c>
      <c r="C22" s="67" t="s">
        <v>123</v>
      </c>
    </row>
    <row r="23" spans="2:3">
      <c r="B23" s="66" t="s">
        <v>124</v>
      </c>
      <c r="C23" s="68">
        <v>43373</v>
      </c>
    </row>
    <row r="24" spans="2:3">
      <c r="B24" s="66" t="s">
        <v>125</v>
      </c>
      <c r="C24" s="67"/>
    </row>
    <row r="25" spans="2:3">
      <c r="B25" s="66" t="s">
        <v>126</v>
      </c>
      <c r="C25" s="67">
        <v>70080</v>
      </c>
    </row>
    <row r="26" spans="2:3">
      <c r="B26" s="66" t="s">
        <v>127</v>
      </c>
      <c r="C26" s="67"/>
    </row>
    <row r="27" spans="2:3" ht="15.75" thickBot="1">
      <c r="B27" s="69" t="s">
        <v>131</v>
      </c>
      <c r="C27" s="70">
        <f>0.000012</f>
        <v>1.2E-5</v>
      </c>
    </row>
  </sheetData>
  <mergeCells count="3">
    <mergeCell ref="B9:C9"/>
    <mergeCell ref="B13:C13"/>
    <mergeCell ref="B15:C15"/>
  </mergeCells>
  <pageMargins left="0.7" right="0.7" top="0.75" bottom="0.75" header="0.3" footer="0.3"/>
  <pageSetup orientation="portrait" r:id="rId1"/>
  <headerFooter>
    <oddHeader>&amp;CImplantable Device</oddHeader>
    <oddFooter>&amp;CImplantable Device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DDD70-81ED-478F-B638-063B25E5138B}">
  <sheetPr codeName="Sheet20">
    <tabColor rgb="FF0000FF"/>
  </sheetPr>
  <dimension ref="A5:E37"/>
  <sheetViews>
    <sheetView topLeftCell="A16" workbookViewId="0">
      <selection activeCell="M30" sqref="M30"/>
    </sheetView>
  </sheetViews>
  <sheetFormatPr defaultColWidth="9" defaultRowHeight="12.75"/>
  <cols>
    <col min="1" max="1" width="9" style="88"/>
    <col min="2" max="2" width="24.21875" style="88" customWidth="1"/>
    <col min="3" max="3" width="15.109375" style="88" customWidth="1"/>
    <col min="4" max="4" width="14.77734375" style="88" customWidth="1"/>
    <col min="5" max="5" width="16.21875" style="88" customWidth="1"/>
    <col min="6" max="16384" width="9" style="89"/>
  </cols>
  <sheetData>
    <row r="5" spans="2:4">
      <c r="B5" s="100" t="s">
        <v>156</v>
      </c>
    </row>
    <row r="6" spans="2:4">
      <c r="B6" s="92" t="s">
        <v>157</v>
      </c>
    </row>
    <row r="7" spans="2:4">
      <c r="B7" s="92" t="s">
        <v>158</v>
      </c>
    </row>
    <row r="8" spans="2:4">
      <c r="B8" s="91" t="s">
        <v>159</v>
      </c>
    </row>
    <row r="9" spans="2:4">
      <c r="B9" s="91" t="s">
        <v>161</v>
      </c>
      <c r="C9" s="88" t="s">
        <v>160</v>
      </c>
    </row>
    <row r="11" spans="2:4" ht="15.75">
      <c r="B11" s="94" t="s">
        <v>142</v>
      </c>
      <c r="C11" s="88">
        <f>0.6*20</f>
        <v>12</v>
      </c>
    </row>
    <row r="12" spans="2:4" ht="15.75">
      <c r="B12" s="94" t="s">
        <v>143</v>
      </c>
      <c r="C12" s="88">
        <f>0.4*20</f>
        <v>8</v>
      </c>
    </row>
    <row r="13" spans="2:4" ht="16.5" thickBot="1">
      <c r="B13" s="92" t="s">
        <v>144</v>
      </c>
      <c r="C13" s="90">
        <f>SUM(C11:C12)</f>
        <v>20</v>
      </c>
    </row>
    <row r="14" spans="2:4" ht="13.5" thickTop="1">
      <c r="B14" s="92"/>
    </row>
    <row r="15" spans="2:4">
      <c r="B15" s="92" t="s">
        <v>145</v>
      </c>
      <c r="C15" s="88">
        <f>C11/10^6+C12/215000</f>
        <v>4.9209302325581395E-5</v>
      </c>
      <c r="D15" s="88" t="s">
        <v>146</v>
      </c>
    </row>
    <row r="16" spans="2:4">
      <c r="B16" s="92"/>
      <c r="C16" s="88">
        <f>C15*60</f>
        <v>2.9525581395348837E-3</v>
      </c>
      <c r="D16" s="88" t="s">
        <v>147</v>
      </c>
    </row>
    <row r="17" spans="2:4">
      <c r="B17" s="92"/>
    </row>
    <row r="18" spans="2:4">
      <c r="B18" s="94" t="s">
        <v>148</v>
      </c>
      <c r="C18" s="99">
        <f>1</f>
        <v>1</v>
      </c>
    </row>
    <row r="19" spans="2:4">
      <c r="B19" s="92" t="s">
        <v>149</v>
      </c>
    </row>
    <row r="20" spans="2:4">
      <c r="B20" s="92" t="s">
        <v>150</v>
      </c>
      <c r="C20" s="93">
        <f>1/0.00294</f>
        <v>340.13605442176873</v>
      </c>
    </row>
    <row r="22" spans="2:4">
      <c r="C22" s="97" t="s">
        <v>152</v>
      </c>
      <c r="D22" s="97" t="s">
        <v>151</v>
      </c>
    </row>
    <row r="23" spans="2:4">
      <c r="C23" s="95">
        <f>340</f>
        <v>340</v>
      </c>
      <c r="D23" s="95">
        <f>1</f>
        <v>1</v>
      </c>
    </row>
    <row r="24" spans="2:4">
      <c r="C24" s="96">
        <f t="shared" ref="C24:C33" si="0">D24/0.00294</f>
        <v>306.12244897959187</v>
      </c>
      <c r="D24" s="95">
        <f>0.9</f>
        <v>0.9</v>
      </c>
    </row>
    <row r="25" spans="2:4">
      <c r="C25" s="96">
        <f t="shared" si="0"/>
        <v>272.108843537415</v>
      </c>
      <c r="D25" s="95">
        <f>D24-0.1</f>
        <v>0.8</v>
      </c>
    </row>
    <row r="26" spans="2:4">
      <c r="C26" s="96">
        <f t="shared" si="0"/>
        <v>238.09523809523813</v>
      </c>
      <c r="D26" s="95">
        <f t="shared" ref="D26:D32" si="1">D25-0.1</f>
        <v>0.70000000000000007</v>
      </c>
    </row>
    <row r="27" spans="2:4">
      <c r="C27" s="96">
        <f t="shared" si="0"/>
        <v>204.08163265306126</v>
      </c>
      <c r="D27" s="95">
        <f t="shared" si="1"/>
        <v>0.60000000000000009</v>
      </c>
    </row>
    <row r="28" spans="2:4">
      <c r="C28" s="96">
        <f t="shared" si="0"/>
        <v>170.0680272108844</v>
      </c>
      <c r="D28" s="95">
        <f t="shared" si="1"/>
        <v>0.50000000000000011</v>
      </c>
    </row>
    <row r="29" spans="2:4">
      <c r="C29" s="96">
        <f t="shared" si="0"/>
        <v>136.05442176870753</v>
      </c>
      <c r="D29" s="95">
        <f t="shared" si="1"/>
        <v>0.40000000000000013</v>
      </c>
    </row>
    <row r="30" spans="2:4">
      <c r="C30" s="96">
        <f t="shared" si="0"/>
        <v>102.04081632653067</v>
      </c>
      <c r="D30" s="95">
        <f t="shared" si="1"/>
        <v>0.30000000000000016</v>
      </c>
    </row>
    <row r="31" spans="2:4">
      <c r="C31" s="96">
        <f t="shared" si="0"/>
        <v>68.027210884353792</v>
      </c>
      <c r="D31" s="95">
        <f>D30-0.1</f>
        <v>0.20000000000000015</v>
      </c>
    </row>
    <row r="32" spans="2:4">
      <c r="C32" s="96">
        <f t="shared" si="0"/>
        <v>34.013605442176917</v>
      </c>
      <c r="D32" s="95">
        <f t="shared" si="1"/>
        <v>0.10000000000000014</v>
      </c>
    </row>
    <row r="33" spans="2:4">
      <c r="C33" s="96">
        <f t="shared" si="0"/>
        <v>4.7203359890525365E-14</v>
      </c>
      <c r="D33" s="96">
        <f>D32-0.1</f>
        <v>1.3877787807814457E-16</v>
      </c>
    </row>
    <row r="35" spans="2:4">
      <c r="B35" s="89"/>
      <c r="C35" s="98" t="s">
        <v>154</v>
      </c>
      <c r="D35" s="95">
        <f>2</f>
        <v>2</v>
      </c>
    </row>
    <row r="36" spans="2:4">
      <c r="C36" s="95" t="s">
        <v>155</v>
      </c>
      <c r="D36" s="96">
        <f>C20</f>
        <v>340.13605442176873</v>
      </c>
    </row>
    <row r="37" spans="2:4">
      <c r="B37" s="89"/>
      <c r="C37" s="98" t="s">
        <v>153</v>
      </c>
      <c r="D37" s="95">
        <f>(340)/_xlfn.GAMMA(1+1/2)</f>
        <v>383.64891681247428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09A14-C006-4BC2-BD85-5343801F9761}">
  <sheetPr codeName="Sheet21">
    <tabColor theme="6"/>
  </sheetPr>
  <dimension ref="B2:D38"/>
  <sheetViews>
    <sheetView workbookViewId="0">
      <selection activeCell="C17" sqref="C17"/>
    </sheetView>
  </sheetViews>
  <sheetFormatPr defaultColWidth="9" defaultRowHeight="12.75"/>
  <cols>
    <col min="1" max="1" width="9" style="102"/>
    <col min="2" max="2" width="24.77734375" style="102" customWidth="1"/>
    <col min="3" max="3" width="16.44140625" style="102" customWidth="1"/>
    <col min="4" max="4" width="15.88671875" style="102" customWidth="1"/>
    <col min="5" max="16384" width="9" style="102"/>
  </cols>
  <sheetData>
    <row r="2" spans="2:4">
      <c r="B2" s="101" t="s">
        <v>156</v>
      </c>
    </row>
    <row r="3" spans="2:4">
      <c r="B3" s="102" t="s">
        <v>162</v>
      </c>
    </row>
    <row r="5" spans="2:4">
      <c r="B5" s="102" t="s">
        <v>163</v>
      </c>
      <c r="C5" s="103">
        <f>45</f>
        <v>45</v>
      </c>
      <c r="D5" s="102" t="s">
        <v>164</v>
      </c>
    </row>
    <row r="6" spans="2:4">
      <c r="B6" s="102" t="s">
        <v>165</v>
      </c>
      <c r="C6" s="103">
        <f>310</f>
        <v>310</v>
      </c>
      <c r="D6" s="102" t="s">
        <v>164</v>
      </c>
    </row>
    <row r="7" spans="2:4">
      <c r="B7" s="102" t="s">
        <v>166</v>
      </c>
      <c r="C7" s="104">
        <f>12400</f>
        <v>12400</v>
      </c>
      <c r="D7" s="102" t="s">
        <v>164</v>
      </c>
    </row>
    <row r="9" spans="2:4">
      <c r="B9" s="102" t="s">
        <v>167</v>
      </c>
    </row>
    <row r="10" spans="2:4">
      <c r="B10" s="103" t="s">
        <v>168</v>
      </c>
      <c r="C10" s="103">
        <f>5</f>
        <v>5</v>
      </c>
      <c r="D10" s="102" t="s">
        <v>169</v>
      </c>
    </row>
    <row r="11" spans="2:4">
      <c r="B11" s="103" t="s">
        <v>170</v>
      </c>
      <c r="C11" s="103">
        <f>60</f>
        <v>60</v>
      </c>
      <c r="D11" s="102" t="s">
        <v>171</v>
      </c>
    </row>
    <row r="12" spans="2:4">
      <c r="B12" s="103" t="s">
        <v>172</v>
      </c>
      <c r="C12" s="103">
        <f>495</f>
        <v>495</v>
      </c>
      <c r="D12" s="102" t="s">
        <v>173</v>
      </c>
    </row>
    <row r="14" spans="2:4">
      <c r="B14" s="101" t="s">
        <v>174</v>
      </c>
    </row>
    <row r="15" spans="2:4">
      <c r="B15" s="102" t="s">
        <v>175</v>
      </c>
    </row>
    <row r="17" spans="2:4">
      <c r="B17" s="103" t="s">
        <v>176</v>
      </c>
      <c r="C17" s="105">
        <f>C10/C5</f>
        <v>0.1111111111111111</v>
      </c>
    </row>
    <row r="18" spans="2:4">
      <c r="B18" s="103" t="s">
        <v>177</v>
      </c>
      <c r="C18" s="105">
        <f>C11/C6</f>
        <v>0.19354838709677419</v>
      </c>
    </row>
    <row r="19" spans="2:4">
      <c r="B19" s="103" t="s">
        <v>178</v>
      </c>
      <c r="C19" s="105">
        <f>C12/C7</f>
        <v>3.9919354838709675E-2</v>
      </c>
    </row>
    <row r="20" spans="2:4" ht="13.5" thickBot="1">
      <c r="B20" s="107" t="s">
        <v>179</v>
      </c>
      <c r="C20" s="106">
        <f>SUM(C17:C19)</f>
        <v>0.34457885304659497</v>
      </c>
      <c r="D20" s="103" t="s">
        <v>180</v>
      </c>
    </row>
    <row r="21" spans="2:4" ht="13.5" thickTop="1"/>
    <row r="23" spans="2:4">
      <c r="B23" s="94" t="s">
        <v>148</v>
      </c>
      <c r="C23" s="99">
        <f>1</f>
        <v>1</v>
      </c>
      <c r="D23" s="88"/>
    </row>
    <row r="24" spans="2:4">
      <c r="B24" s="92" t="s">
        <v>181</v>
      </c>
      <c r="C24" s="88"/>
      <c r="D24" s="88"/>
    </row>
    <row r="25" spans="2:4">
      <c r="B25" s="92" t="s">
        <v>182</v>
      </c>
      <c r="C25" s="108">
        <f>1/C20</f>
        <v>2.9020933558704982</v>
      </c>
      <c r="D25" s="88"/>
    </row>
    <row r="27" spans="2:4" ht="14.25" customHeight="1">
      <c r="C27" s="110" t="s">
        <v>152</v>
      </c>
      <c r="D27" s="110" t="s">
        <v>151</v>
      </c>
    </row>
    <row r="28" spans="2:4">
      <c r="C28" s="111">
        <f>$D28/$C$20</f>
        <v>2.9020933558704982</v>
      </c>
      <c r="D28" s="109">
        <v>1</v>
      </c>
    </row>
    <row r="29" spans="2:4">
      <c r="C29" s="111">
        <f t="shared" ref="C29:C38" si="0">$D29/$C$20</f>
        <v>2.6118840202834486</v>
      </c>
      <c r="D29" s="109">
        <v>0.9</v>
      </c>
    </row>
    <row r="30" spans="2:4">
      <c r="C30" s="111">
        <f t="shared" si="0"/>
        <v>2.3216746846963985</v>
      </c>
      <c r="D30" s="109">
        <v>0.8</v>
      </c>
    </row>
    <row r="31" spans="2:4">
      <c r="C31" s="111">
        <f t="shared" si="0"/>
        <v>2.0314653491093488</v>
      </c>
      <c r="D31" s="109">
        <v>0.70000000000000007</v>
      </c>
    </row>
    <row r="32" spans="2:4">
      <c r="C32" s="111">
        <f t="shared" si="0"/>
        <v>1.7412560135222992</v>
      </c>
      <c r="D32" s="109">
        <v>0.60000000000000009</v>
      </c>
    </row>
    <row r="33" spans="3:4">
      <c r="C33" s="111">
        <f t="shared" si="0"/>
        <v>1.4510466779352493</v>
      </c>
      <c r="D33" s="109">
        <v>0.50000000000000011</v>
      </c>
    </row>
    <row r="34" spans="3:4">
      <c r="C34" s="111">
        <f t="shared" si="0"/>
        <v>1.1608373423481997</v>
      </c>
      <c r="D34" s="109">
        <v>0.40000000000000013</v>
      </c>
    </row>
    <row r="35" spans="3:4">
      <c r="C35" s="111">
        <f t="shared" si="0"/>
        <v>0.87062800676114993</v>
      </c>
      <c r="D35" s="109">
        <v>0.30000000000000016</v>
      </c>
    </row>
    <row r="36" spans="3:4">
      <c r="C36" s="111">
        <f t="shared" si="0"/>
        <v>0.58041867117410006</v>
      </c>
      <c r="D36" s="109">
        <v>0.20000000000000015</v>
      </c>
    </row>
    <row r="37" spans="3:4">
      <c r="C37" s="111">
        <f t="shared" si="0"/>
        <v>0.29020933558705025</v>
      </c>
      <c r="D37" s="109">
        <v>0.10000000000000014</v>
      </c>
    </row>
    <row r="38" spans="3:4">
      <c r="C38" s="111">
        <f t="shared" si="0"/>
        <v>4.0274635791238942E-16</v>
      </c>
      <c r="D38" s="112">
        <v>1.3877787807814457E-16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30C29-9B85-4AB2-BDB5-5C072F369232}">
  <sheetPr codeName="Sheet22">
    <tabColor theme="5" tint="-0.249977111117893"/>
  </sheetPr>
  <dimension ref="B2:G18"/>
  <sheetViews>
    <sheetView workbookViewId="0">
      <selection activeCell="L34" sqref="L34"/>
    </sheetView>
  </sheetViews>
  <sheetFormatPr defaultColWidth="9" defaultRowHeight="12.75"/>
  <cols>
    <col min="1" max="1" width="9" style="89"/>
    <col min="2" max="2" width="11.88671875" style="89" customWidth="1"/>
    <col min="3" max="5" width="11.109375" style="89" customWidth="1"/>
    <col min="6" max="6" width="18.6640625" style="89" customWidth="1"/>
    <col min="7" max="16384" width="9" style="89"/>
  </cols>
  <sheetData>
    <row r="2" spans="2:7">
      <c r="B2" s="88" t="s">
        <v>183</v>
      </c>
      <c r="C2" s="114">
        <f>5000</f>
        <v>5000</v>
      </c>
      <c r="D2" s="114"/>
      <c r="E2" s="114"/>
    </row>
    <row r="3" spans="2:7">
      <c r="B3" s="113" t="s">
        <v>184</v>
      </c>
      <c r="C3" s="113" t="s">
        <v>185</v>
      </c>
      <c r="D3" s="113" t="s">
        <v>192</v>
      </c>
      <c r="E3" s="113" t="s">
        <v>89</v>
      </c>
    </row>
    <row r="4" spans="2:7">
      <c r="B4" s="95">
        <v>0.1</v>
      </c>
      <c r="C4" s="95">
        <f>15</f>
        <v>15</v>
      </c>
      <c r="D4" s="117">
        <f>($C4-0.3)/($C$2+0.4)</f>
        <v>2.939764818814495E-3</v>
      </c>
      <c r="E4" s="117">
        <f>D4</f>
        <v>2.939764818814495E-3</v>
      </c>
    </row>
    <row r="5" spans="2:7">
      <c r="B5" s="95">
        <v>0.2</v>
      </c>
      <c r="C5" s="95">
        <f>1</f>
        <v>1</v>
      </c>
      <c r="D5" s="117">
        <f t="shared" ref="D5:D18" si="0">($C5-0.3)/($C$2+0.4)</f>
        <v>1.3998880089592831E-4</v>
      </c>
      <c r="E5" s="117">
        <f>SUM(D4:D5)</f>
        <v>3.0797536197104233E-3</v>
      </c>
    </row>
    <row r="6" spans="2:7">
      <c r="B6" s="95">
        <v>0.3</v>
      </c>
      <c r="C6" s="95">
        <f>0</f>
        <v>0</v>
      </c>
      <c r="D6" s="118">
        <f t="shared" si="0"/>
        <v>-5.9995200383969282E-5</v>
      </c>
      <c r="E6" s="117">
        <f>SUM(D4:D6)</f>
        <v>3.0197584193264542E-3</v>
      </c>
    </row>
    <row r="7" spans="2:7">
      <c r="B7" s="95">
        <v>0.4</v>
      </c>
      <c r="C7" s="95">
        <f>0</f>
        <v>0</v>
      </c>
      <c r="D7" s="118">
        <f t="shared" si="0"/>
        <v>-5.9995200383969282E-5</v>
      </c>
      <c r="E7" s="117">
        <f t="shared" ref="E7:E18" si="1">SUM(D5:D7)</f>
        <v>1.9998400127989743E-5</v>
      </c>
    </row>
    <row r="8" spans="2:7">
      <c r="B8" s="95">
        <v>0.5</v>
      </c>
      <c r="C8" s="95">
        <f>0</f>
        <v>0</v>
      </c>
      <c r="D8" s="118">
        <f t="shared" si="0"/>
        <v>-5.9995200383969282E-5</v>
      </c>
      <c r="E8" s="117">
        <f>SUM(D4:D8)</f>
        <v>2.8997680185585159E-3</v>
      </c>
      <c r="F8" s="115" t="s">
        <v>188</v>
      </c>
      <c r="G8" s="88">
        <f>0</f>
        <v>0</v>
      </c>
    </row>
    <row r="9" spans="2:7" ht="13.5" thickBot="1">
      <c r="B9" s="95">
        <v>1</v>
      </c>
      <c r="C9" s="95">
        <f>1</f>
        <v>1</v>
      </c>
      <c r="D9" s="117">
        <f t="shared" si="0"/>
        <v>1.3998880089592831E-4</v>
      </c>
      <c r="E9" s="117">
        <f t="shared" si="1"/>
        <v>1.9998400127989749E-5</v>
      </c>
      <c r="F9" s="115" t="s">
        <v>186</v>
      </c>
      <c r="G9" s="116">
        <f>C2-G8</f>
        <v>5000</v>
      </c>
    </row>
    <row r="10" spans="2:7" ht="13.5" thickTop="1">
      <c r="B10" s="95">
        <f>B9+1</f>
        <v>2</v>
      </c>
      <c r="C10" s="95">
        <f>2</f>
        <v>2</v>
      </c>
      <c r="D10" s="117">
        <f t="shared" si="0"/>
        <v>3.3997280217582594E-4</v>
      </c>
      <c r="E10" s="117">
        <f t="shared" si="1"/>
        <v>4.1996640268778494E-4</v>
      </c>
      <c r="F10" s="115" t="s">
        <v>189</v>
      </c>
      <c r="G10" s="88">
        <f>SUM(C4:C8)</f>
        <v>16</v>
      </c>
    </row>
    <row r="11" spans="2:7" ht="13.5" thickBot="1">
      <c r="B11" s="95">
        <f t="shared" ref="B11:B18" si="2">B10+1</f>
        <v>3</v>
      </c>
      <c r="C11" s="95">
        <f>2</f>
        <v>2</v>
      </c>
      <c r="D11" s="117">
        <f t="shared" si="0"/>
        <v>3.3997280217582594E-4</v>
      </c>
      <c r="E11" s="117">
        <f t="shared" si="1"/>
        <v>8.199344052475802E-4</v>
      </c>
      <c r="F11" s="115" t="s">
        <v>187</v>
      </c>
      <c r="G11" s="116">
        <f>C2-G10</f>
        <v>4984</v>
      </c>
    </row>
    <row r="12" spans="2:7" ht="13.5" thickTop="1">
      <c r="B12" s="95">
        <f t="shared" si="2"/>
        <v>4</v>
      </c>
      <c r="C12" s="95">
        <f>2</f>
        <v>2</v>
      </c>
      <c r="D12" s="117">
        <f t="shared" si="0"/>
        <v>3.3997280217582594E-4</v>
      </c>
      <c r="E12" s="117">
        <f t="shared" si="1"/>
        <v>1.0199184065274778E-3</v>
      </c>
      <c r="F12" s="115" t="s">
        <v>191</v>
      </c>
      <c r="G12" s="88">
        <f>SUM(C4:C15)</f>
        <v>29</v>
      </c>
    </row>
    <row r="13" spans="2:7" ht="13.5" thickBot="1">
      <c r="B13" s="95">
        <f t="shared" si="2"/>
        <v>5</v>
      </c>
      <c r="C13" s="95">
        <f>2</f>
        <v>2</v>
      </c>
      <c r="D13" s="117">
        <f t="shared" si="0"/>
        <v>3.3997280217582594E-4</v>
      </c>
      <c r="E13" s="117">
        <f t="shared" si="1"/>
        <v>1.0199184065274778E-3</v>
      </c>
      <c r="F13" s="115" t="s">
        <v>190</v>
      </c>
      <c r="G13" s="116">
        <f>C2-G12</f>
        <v>4971</v>
      </c>
    </row>
    <row r="14" spans="2:7" ht="13.5" thickTop="1">
      <c r="B14" s="95">
        <f t="shared" si="2"/>
        <v>6</v>
      </c>
      <c r="C14" s="95">
        <f>2</f>
        <v>2</v>
      </c>
      <c r="D14" s="117">
        <f t="shared" si="0"/>
        <v>3.3997280217582594E-4</v>
      </c>
      <c r="E14" s="117">
        <f t="shared" si="1"/>
        <v>1.0199184065274778E-3</v>
      </c>
    </row>
    <row r="15" spans="2:7">
      <c r="B15" s="95">
        <f t="shared" si="2"/>
        <v>7</v>
      </c>
      <c r="C15" s="95">
        <f>2</f>
        <v>2</v>
      </c>
      <c r="D15" s="117">
        <f t="shared" si="0"/>
        <v>3.3997280217582594E-4</v>
      </c>
      <c r="E15" s="117">
        <f t="shared" si="1"/>
        <v>1.0199184065274778E-3</v>
      </c>
    </row>
    <row r="16" spans="2:7">
      <c r="B16" s="95">
        <f t="shared" si="2"/>
        <v>8</v>
      </c>
      <c r="C16" s="95">
        <f>5</f>
        <v>5</v>
      </c>
      <c r="D16" s="117">
        <f t="shared" si="0"/>
        <v>9.3992480601551884E-4</v>
      </c>
      <c r="E16" s="117">
        <f t="shared" si="1"/>
        <v>1.6198704103671706E-3</v>
      </c>
    </row>
    <row r="17" spans="2:5">
      <c r="B17" s="95">
        <f t="shared" si="2"/>
        <v>9</v>
      </c>
      <c r="C17" s="95">
        <f>15</f>
        <v>15</v>
      </c>
      <c r="D17" s="117">
        <f t="shared" si="0"/>
        <v>2.939764818814495E-3</v>
      </c>
      <c r="E17" s="117">
        <f t="shared" si="1"/>
        <v>4.2196624270058394E-3</v>
      </c>
    </row>
    <row r="18" spans="2:5">
      <c r="B18" s="95">
        <f t="shared" si="2"/>
        <v>10</v>
      </c>
      <c r="C18" s="95">
        <f>25</f>
        <v>25</v>
      </c>
      <c r="D18" s="117">
        <f t="shared" si="0"/>
        <v>4.939604831613471E-3</v>
      </c>
      <c r="E18" s="117">
        <f t="shared" si="1"/>
        <v>8.8192944564434855E-3</v>
      </c>
    </row>
  </sheetData>
  <pageMargins left="0.7" right="0.7" top="0.75" bottom="0.75" header="0.3" footer="0.3"/>
  <pageSetup orientation="portrait" r:id="rId1"/>
  <ignoredErrors>
    <ignoredError sqref="E8" formula="1"/>
  </ignoredError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6992F-0A11-4EFB-AC29-6C7D46130C31}">
  <sheetPr codeName="Sheet23">
    <tabColor rgb="FF005E5E"/>
  </sheetPr>
  <dimension ref="B1:J25"/>
  <sheetViews>
    <sheetView view="pageLayout" topLeftCell="B7" zoomScaleNormal="100" workbookViewId="0">
      <selection activeCell="L21" sqref="L21"/>
    </sheetView>
  </sheetViews>
  <sheetFormatPr defaultColWidth="9" defaultRowHeight="15.75"/>
  <cols>
    <col min="1" max="2" width="9" style="134"/>
    <col min="3" max="3" width="12.77734375" style="134" customWidth="1"/>
    <col min="4" max="16384" width="9" style="134"/>
  </cols>
  <sheetData>
    <row r="1" spans="2:10" ht="16.5" thickBot="1"/>
    <row r="2" spans="2:10">
      <c r="B2" s="135" t="s">
        <v>156</v>
      </c>
      <c r="C2" s="136"/>
      <c r="D2" s="136"/>
      <c r="E2" s="136"/>
      <c r="F2" s="136"/>
      <c r="G2" s="136"/>
      <c r="H2" s="136"/>
      <c r="I2" s="137"/>
    </row>
    <row r="3" spans="2:10">
      <c r="B3" s="138" t="s">
        <v>205</v>
      </c>
      <c r="C3" s="139"/>
      <c r="D3" s="139"/>
      <c r="E3" s="139"/>
      <c r="F3" s="139"/>
      <c r="G3" s="139"/>
      <c r="H3" s="139"/>
      <c r="I3" s="140"/>
    </row>
    <row r="4" spans="2:10">
      <c r="B4" s="138" t="s">
        <v>206</v>
      </c>
      <c r="C4" s="139"/>
      <c r="D4" s="139"/>
      <c r="E4" s="139"/>
      <c r="F4" s="139"/>
      <c r="G4" s="139"/>
      <c r="H4" s="139"/>
      <c r="I4" s="140"/>
    </row>
    <row r="5" spans="2:10">
      <c r="B5" s="138" t="s">
        <v>207</v>
      </c>
      <c r="C5" s="139"/>
      <c r="D5" s="139"/>
      <c r="E5" s="139"/>
      <c r="F5" s="139"/>
      <c r="G5" s="139"/>
      <c r="H5" s="139"/>
      <c r="I5" s="140"/>
    </row>
    <row r="6" spans="2:10">
      <c r="B6" s="138" t="s">
        <v>208</v>
      </c>
      <c r="C6" s="139"/>
      <c r="D6" s="139"/>
      <c r="E6" s="139"/>
      <c r="F6" s="139"/>
      <c r="G6" s="139"/>
      <c r="H6" s="139"/>
      <c r="I6" s="140"/>
    </row>
    <row r="7" spans="2:10">
      <c r="B7" s="138" t="s">
        <v>209</v>
      </c>
      <c r="C7" s="139"/>
      <c r="D7" s="139"/>
      <c r="E7" s="139"/>
      <c r="F7" s="139"/>
      <c r="G7" s="139"/>
      <c r="H7" s="139"/>
      <c r="I7" s="140"/>
    </row>
    <row r="8" spans="2:10" ht="16.5" thickBot="1">
      <c r="B8" s="141" t="s">
        <v>210</v>
      </c>
      <c r="C8" s="142"/>
      <c r="D8" s="142"/>
      <c r="E8" s="142"/>
      <c r="F8" s="142"/>
      <c r="G8" s="142"/>
      <c r="H8" s="142"/>
      <c r="I8" s="143"/>
    </row>
    <row r="9" spans="2:10" ht="16.5" thickBot="1"/>
    <row r="10" spans="2:10">
      <c r="B10" s="144" t="s">
        <v>174</v>
      </c>
      <c r="C10" s="145"/>
      <c r="D10" s="145"/>
      <c r="E10" s="145"/>
      <c r="F10" s="145"/>
      <c r="G10" s="145"/>
      <c r="H10" s="145"/>
      <c r="I10" s="145"/>
      <c r="J10" s="146"/>
    </row>
    <row r="11" spans="2:10">
      <c r="B11" s="147" t="s">
        <v>211</v>
      </c>
      <c r="C11" s="148"/>
      <c r="D11" s="148"/>
      <c r="E11" s="148"/>
      <c r="F11" s="148"/>
      <c r="G11" s="148"/>
      <c r="H11" s="148"/>
      <c r="I11" s="148"/>
      <c r="J11" s="149"/>
    </row>
    <row r="12" spans="2:10" ht="17.25">
      <c r="B12" s="150" t="s">
        <v>212</v>
      </c>
      <c r="C12" s="151">
        <f>120</f>
        <v>120</v>
      </c>
      <c r="D12" s="152" t="s">
        <v>213</v>
      </c>
      <c r="E12" s="148"/>
      <c r="F12" s="148"/>
      <c r="G12" s="148"/>
      <c r="H12" s="148"/>
      <c r="I12" s="148"/>
      <c r="J12" s="149"/>
    </row>
    <row r="13" spans="2:10" ht="17.25">
      <c r="B13" s="150" t="s">
        <v>214</v>
      </c>
      <c r="C13" s="151">
        <f>40</f>
        <v>40</v>
      </c>
      <c r="D13" s="152" t="s">
        <v>215</v>
      </c>
      <c r="E13" s="148"/>
      <c r="F13" s="148"/>
      <c r="G13" s="148"/>
      <c r="H13" s="148"/>
      <c r="I13" s="148"/>
      <c r="J13" s="149"/>
    </row>
    <row r="14" spans="2:10" ht="17.25">
      <c r="B14" s="150" t="s">
        <v>216</v>
      </c>
      <c r="C14" s="151">
        <f>15</f>
        <v>15</v>
      </c>
      <c r="D14" s="152" t="s">
        <v>215</v>
      </c>
      <c r="E14" s="148"/>
      <c r="F14" s="148"/>
      <c r="G14" s="148"/>
      <c r="H14" s="148"/>
      <c r="I14" s="148"/>
      <c r="J14" s="149"/>
    </row>
    <row r="15" spans="2:10" ht="17.25">
      <c r="B15" s="150" t="s">
        <v>217</v>
      </c>
      <c r="C15" s="151">
        <f>SUM(C13:C14)</f>
        <v>55</v>
      </c>
      <c r="D15" s="152" t="s">
        <v>215</v>
      </c>
      <c r="E15" s="148"/>
      <c r="F15" s="148"/>
      <c r="G15" s="148"/>
      <c r="H15" s="148"/>
      <c r="I15" s="148"/>
      <c r="J15" s="149"/>
    </row>
    <row r="16" spans="2:10">
      <c r="B16" s="150" t="s">
        <v>220</v>
      </c>
      <c r="C16" s="151">
        <v>1</v>
      </c>
      <c r="D16" s="152" t="s">
        <v>221</v>
      </c>
      <c r="E16" s="148"/>
      <c r="F16" s="148"/>
      <c r="G16" s="148"/>
      <c r="H16" s="148"/>
      <c r="I16" s="148"/>
      <c r="J16" s="149"/>
    </row>
    <row r="17" spans="2:10">
      <c r="B17" s="147"/>
      <c r="C17" s="148"/>
      <c r="D17" s="148"/>
      <c r="E17" s="148"/>
      <c r="F17" s="148"/>
      <c r="G17" s="148"/>
      <c r="H17" s="148"/>
      <c r="I17" s="148"/>
      <c r="J17" s="149"/>
    </row>
    <row r="18" spans="2:10" ht="17.25">
      <c r="B18" s="153" t="s">
        <v>218</v>
      </c>
      <c r="C18" s="154" t="s">
        <v>219</v>
      </c>
      <c r="D18" s="148"/>
      <c r="E18" s="148"/>
      <c r="F18" s="148"/>
      <c r="G18" s="148"/>
      <c r="H18" s="148"/>
      <c r="I18" s="148"/>
      <c r="J18" s="149"/>
    </row>
    <row r="19" spans="2:10" ht="17.25">
      <c r="B19" s="153" t="s">
        <v>218</v>
      </c>
      <c r="C19" s="151">
        <f>C15+C12*1</f>
        <v>175</v>
      </c>
      <c r="D19" s="152" t="s">
        <v>215</v>
      </c>
      <c r="E19" s="148"/>
      <c r="F19" s="148"/>
      <c r="G19" s="148"/>
      <c r="H19" s="148"/>
      <c r="I19" s="148"/>
      <c r="J19" s="149"/>
    </row>
    <row r="20" spans="2:10">
      <c r="B20" s="147"/>
      <c r="C20" s="148"/>
      <c r="D20" s="148"/>
      <c r="E20" s="148"/>
      <c r="F20" s="148"/>
      <c r="G20" s="148"/>
      <c r="H20" s="148"/>
      <c r="I20" s="148"/>
      <c r="J20" s="149"/>
    </row>
    <row r="21" spans="2:10">
      <c r="B21" s="147" t="s">
        <v>222</v>
      </c>
      <c r="C21" s="148"/>
      <c r="D21" s="148"/>
      <c r="E21" s="148"/>
      <c r="F21" s="148"/>
      <c r="G21" s="148"/>
      <c r="H21" s="148"/>
      <c r="I21" s="148"/>
      <c r="J21" s="149"/>
    </row>
    <row r="22" spans="2:10">
      <c r="B22" s="147" t="s">
        <v>223</v>
      </c>
      <c r="C22" s="148"/>
      <c r="D22" s="148"/>
      <c r="E22" s="148"/>
      <c r="F22" s="148"/>
      <c r="G22" s="148"/>
      <c r="H22" s="148"/>
      <c r="I22" s="148"/>
      <c r="J22" s="149"/>
    </row>
    <row r="23" spans="2:10">
      <c r="B23" s="147" t="s">
        <v>224</v>
      </c>
      <c r="C23" s="148"/>
      <c r="D23" s="148"/>
      <c r="E23" s="148"/>
      <c r="F23" s="148"/>
      <c r="G23" s="148"/>
      <c r="H23" s="148"/>
      <c r="I23" s="148"/>
      <c r="J23" s="149"/>
    </row>
    <row r="24" spans="2:10">
      <c r="B24" s="147" t="s">
        <v>225</v>
      </c>
      <c r="C24" s="148"/>
      <c r="D24" s="148"/>
      <c r="E24" s="148"/>
      <c r="F24" s="148"/>
      <c r="G24" s="148"/>
      <c r="H24" s="148"/>
      <c r="I24" s="148"/>
      <c r="J24" s="149"/>
    </row>
    <row r="25" spans="2:10" ht="16.5" thickBot="1">
      <c r="B25" s="155" t="s">
        <v>226</v>
      </c>
      <c r="C25" s="156"/>
      <c r="D25" s="156"/>
      <c r="E25" s="156"/>
      <c r="F25" s="156"/>
      <c r="G25" s="156"/>
      <c r="H25" s="156"/>
      <c r="I25" s="156"/>
      <c r="J25" s="1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Thermal analysis</vt:lpstr>
      <vt:lpstr>Problem 2.1</vt:lpstr>
      <vt:lpstr>Problem 2.2</vt:lpstr>
      <vt:lpstr>Problem 1</vt:lpstr>
      <vt:lpstr>Problem 2</vt:lpstr>
      <vt:lpstr>Problem 3</vt:lpstr>
      <vt:lpstr>Problem 4</vt:lpstr>
      <vt:lpstr>Problem 5</vt:lpstr>
      <vt:lpstr>Problem 6</vt:lpstr>
      <vt:lpstr>Ex. 2.4</vt:lpstr>
      <vt:lpstr>Ball Bearing Example</vt:lpstr>
      <vt:lpstr>Active standby model</vt:lpstr>
      <vt:lpstr>Series Model</vt:lpstr>
      <vt:lpstr>Electromigration</vt:lpstr>
      <vt:lpstr>TDDB</vt:lpstr>
      <vt:lpstr>Hot Carrier Injection</vt:lpstr>
      <vt:lpstr>NBIT</vt:lpstr>
      <vt:lpstr>m exponent for Coffin Manson</vt:lpstr>
      <vt:lpstr>Chapter 7</vt:lpstr>
      <vt:lpstr> Miner rule I</vt:lpstr>
      <vt:lpstr>Miners rule II</vt:lpstr>
      <vt:lpstr>Weibull Plot</vt:lpstr>
      <vt:lpstr>Thermal Analysis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Ali, Kashif (GE Oil &amp; Gas)</dc:creator>
  <cp:lastModifiedBy>Kashif</cp:lastModifiedBy>
  <cp:lastPrinted>2018-10-11T18:08:09Z</cp:lastPrinted>
  <dcterms:created xsi:type="dcterms:W3CDTF">2017-07-13T22:05:26Z</dcterms:created>
  <dcterms:modified xsi:type="dcterms:W3CDTF">2019-05-09T14:12:59Z</dcterms:modified>
</cp:coreProperties>
</file>